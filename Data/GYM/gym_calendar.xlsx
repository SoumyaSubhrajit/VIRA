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firstSheet="1" activeTab="2"/>
  </bookViews>
  <sheets>
    <sheet sheetId="1" name="Dashboard" state="visible" r:id="rId4"/>
    <sheet sheetId="2" name="Plan (PPL Template)" state="visible" r:id="rId5"/>
    <sheet sheetId="3" name="6-Month Calendar" state="visible" r:id="rId6"/>
  </sheets>
  <calcPr calcId="171027"/>
</workbook>
</file>

<file path=xl/sharedStrings.xml><?xml version="1.0" encoding="utf-8"?>
<sst xmlns="http://schemas.openxmlformats.org/spreadsheetml/2006/main" count="60" uniqueCount="40">
  <si>
    <t>Progress Dashboard</t>
  </si>
  <si>
    <t>Total Training Days (6 months)</t>
  </si>
  <si>
    <t>Total Rest Days</t>
  </si>
  <si>
    <t>Sessions Completed (Yes)</t>
  </si>
  <si>
    <t>Sessions Missed (No)</t>
  </si>
  <si>
    <t>Completion Rate</t>
  </si>
  <si>
    <t>Push Days Total</t>
  </si>
  <si>
    <t>Pull Days Total</t>
  </si>
  <si>
    <t>Legs Days Total</t>
  </si>
  <si>
    <t>6-Day PPL Template (Reference)</t>
  </si>
  <si>
    <t>Day Type</t>
  </si>
  <si>
    <t>Exercises</t>
  </si>
  <si>
    <t>Muscle Focus</t>
  </si>
  <si>
    <t>Push</t>
  </si>
  <si>
    <t xml:space="preserve">1. Incline Barbell Press - 4x8-10
2. Incline DB Press - 4x10
3. Low-to-High Cable Crossover - 4x15
4. Close Grip Bench Press - 4x8-10
5. Overhead Cable Tricep Extension - 4x10-12
6. Rope Pushdown - 4x12-15</t>
  </si>
  <si>
    <t>Upper Chest (priority), Triceps - long head + lateral head</t>
  </si>
  <si>
    <t>Pull</t>
  </si>
  <si>
    <t xml:space="preserve">1. Pull-Ups (weighted/assisted) - 4xMax
2. Wide Grip Lat Pulldown - 4-5x8-15
3. Seated Cable Row (close grip) - 4x10
4. Face Pulls - 4x20 (NON-NEGOTIABLE)
5. Barbell Curl - 4x8-15
6. Reverse Barbell Curl / Wrist Curl - 3x12-20</t>
  </si>
  <si>
    <t>Lat Width, Back Thickness, Rear Delts/Posture, Biceps, Forearms</t>
  </si>
  <si>
    <t>Legs</t>
  </si>
  <si>
    <t xml:space="preserve">1. Barbell Squat - 4x10
2. Leg Press - 4x12
3. Romanian Deadlift - 4x10
4. Standing Calf Raise - 3x20
5. Seated DB Shoulder Press - 4x10
6. Cable Lateral Raise + Reverse Pec Deck - 4x15-20 (NON-NEGOTIABLE)
7. Hanging Leg Raise + Plank - 3x12 / 45s</t>
  </si>
  <si>
    <t>Quads, Hamstrings, Calves, Shoulders (medial+posterior delt), Core</t>
  </si>
  <si>
    <t>Rest</t>
  </si>
  <si>
    <t>Rest Day - Recovery, mobility, sleep, magnesium at night</t>
  </si>
  <si>
    <t>Recovery</t>
  </si>
  <si>
    <t>Training Calendar - 6 Months (Mon-Sat PPL x2, Sunday Rest)</t>
  </si>
  <si>
    <t>Date</t>
  </si>
  <si>
    <t>Weekday</t>
  </si>
  <si>
    <t>Completed</t>
  </si>
  <si>
    <t>Notes</t>
  </si>
  <si>
    <t>No</t>
  </si>
  <si>
    <t>I have missed monday because I was in my home and also office was closed that day.</t>
  </si>
  <si>
    <t>Yes</t>
  </si>
  <si>
    <t xml:space="preserve">I have done this 5 exercise of back and 3 for biceps 
ack (Lats &amp; Upper Back)
Neutral-Grip Lat Pulldown (Mid Range)
Close-Grip Lat Pulldown
Neutral-Grip Seated Cable Row
Single-Arm Chest-Supported High Row (Overhand Grip)
Seated Cable Row
Biceps
Preacher Curl
EZ-Bar Curl (assuming by "Curl Bar" you mean an EZ curl bar)
Cheat Hammer Curl (or Assisted Cheat Hammer Curl if you're using slight body momentum)</t>
  </si>
  <si>
    <t>SHOULDER + LEG</t>
  </si>
  <si>
    <t>1. 45 Degree Leg Press - 4x12. 2. Romanian Deadlift - 4x10. 3. Leg Curl - 3x12. 4. Hanging Leg Raise - 2x12-15. 5. Cable Lateral Raise - 4x15-20. 6. Reverse Pec Fly - 4x15. 7. Shoulder Press Machine - 4x10. 8. DB Lateral Raise Burnout - 2x20-25. 9. Cable Crunches - 3x15-20. 10. Reverse Barbell Curl - 3x12-15. 11. Barbell Wrist Curl - 3x20. 12. Farmers Walk - 3x30sec.</t>
  </si>
  <si>
    <t xml:space="preserve">1. Leg curl is is not done yet.
2. Reverse Barbell is pending
3. barbell wrist  Curl and farmer walk not done</t>
  </si>
  <si>
    <t xml:space="preserve">Extra:
1. Decline machine press
2. pec dec fly
Instead of close grip bench press
Extra for tricepe:
rope pull down 
and ABS
1. cruches</t>
  </si>
  <si>
    <t xml:space="preserve">Extra:
1. Wide pull down
2. supported row
3. vertical row
4. Instead of face pull reverse pec fly
Biscape:
peacher upported curl
z bar supported curl
Abs:
1. Hanging leg raise
2. upper abs crunches
Forearms:
1. wrist curl
2. weight squzee</t>
  </si>
  <si>
    <t>is my chest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</si>
</sst>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 zoomScale="100" zoomScaleNormal="100"/>
  </sheetViews>
  <sheetFormatPr defaultRowHeight="15.5" outlineLevelRow="0" outlineLevelCol="0" x14ac:dyDescent="0.35" customHeight="1"/>
  <sheetData>
    <row r="1" spans="1:2" x14ac:dyDescent="0.25">
      <c r="A1" s="1" t="s">
        <v>0</v>
      </c>
      <c r="B1" s="1"/>
    </row>
    <row r="3" spans="1:2" x14ac:dyDescent="0.25">
      <c r="A3" t="s">
        <v>1</v>
      </c>
      <c r="B3">
        <f>COUNTIF('6-Month Calendar'!C4:C185,"&lt;&gt;Rest")</f>
        <v>156</v>
      </c>
    </row>
    <row r="4" spans="1:2" x14ac:dyDescent="0.25">
      <c r="A4" t="s">
        <v>2</v>
      </c>
      <c r="B4">
        <f>COUNTIF('6-Month Calendar'!C4:C185,"Rest")</f>
        <v>26</v>
      </c>
    </row>
    <row r="5" spans="1:2" x14ac:dyDescent="0.25">
      <c r="A5" t="s">
        <v>3</v>
      </c>
      <c r="B5">
        <f>COUNTIF('6-Month Calendar'!F4:F185,"Yes")</f>
        <v>1</v>
      </c>
    </row>
    <row r="6" spans="1:2" x14ac:dyDescent="0.25">
      <c r="A6" t="s">
        <v>4</v>
      </c>
      <c r="B6">
        <f>COUNTIF('6-Month Calendar'!F4:F185,"No")</f>
        <v>1</v>
      </c>
    </row>
    <row r="7" spans="1:2" x14ac:dyDescent="0.25">
      <c r="A7" t="s">
        <v>5</v>
      </c>
      <c r="B7">
        <f>IFERROR(B5/B3,0)</f>
        <v>0.00641025641025641</v>
      </c>
    </row>
    <row r="8" spans="1:2" x14ac:dyDescent="0.25">
      <c r="A8" t="s">
        <v>6</v>
      </c>
      <c r="B8">
        <f>COUNTIF('6-Month Calendar'!C4:C185,"Push")</f>
        <v>52</v>
      </c>
    </row>
    <row r="9" spans="1:2" x14ac:dyDescent="0.25">
      <c r="A9" t="s">
        <v>7</v>
      </c>
      <c r="B9">
        <f>COUNTIF('6-Month Calendar'!C4:C185,"Pull")</f>
        <v>52</v>
      </c>
    </row>
    <row r="10" spans="1:2" x14ac:dyDescent="0.25">
      <c r="A10" t="s">
        <v>8</v>
      </c>
      <c r="B10">
        <f>COUNTIF('6-Month Calendar'!C4:C185,"Legs")</f>
        <v>51</v>
      </c>
    </row>
  </sheetData>
  <mergeCells count="1">
    <mergeCell ref="A1:B1"/>
  </mergeCells>
  <pageMargins left="0.75" right="0.75" top="1" bottom="1" header="0.511811023622047" footer="0.5118110236220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/>
  </sheetViews>
  <sheetFormatPr defaultRowHeight="15.5" outlineLevelRow="0" outlineLevelCol="0" x14ac:dyDescent="0.35" customHeight="1"/>
  <sheetData>
    <row r="1" spans="1:3" x14ac:dyDescent="0.25">
      <c r="A1" s="1" t="s">
        <v>9</v>
      </c>
      <c r="B1" s="1"/>
      <c r="C1" s="1"/>
    </row>
    <row r="3" spans="1:3" x14ac:dyDescent="0.25">
      <c r="A3" t="s">
        <v>10</v>
      </c>
      <c r="B3" t="s">
        <v>11</v>
      </c>
      <c r="C3" t="s">
        <v>12</v>
      </c>
    </row>
    <row r="4" spans="1:3" x14ac:dyDescent="0.25">
      <c r="A4" t="s">
        <v>13</v>
      </c>
      <c r="B4" t="s">
        <v>14</v>
      </c>
      <c r="C4" t="s">
        <v>15</v>
      </c>
    </row>
    <row r="5" spans="1:3" x14ac:dyDescent="0.25">
      <c r="A5" t="s">
        <v>16</v>
      </c>
      <c r="B5" t="s">
        <v>17</v>
      </c>
      <c r="C5" t="s">
        <v>18</v>
      </c>
    </row>
    <row r="6" spans="1:3" x14ac:dyDescent="0.25">
      <c r="A6" t="s">
        <v>19</v>
      </c>
      <c r="B6" t="s">
        <v>20</v>
      </c>
      <c r="C6" t="s">
        <v>21</v>
      </c>
    </row>
    <row r="7" spans="1:3" x14ac:dyDescent="0.25">
      <c r="A7" t="s">
        <v>22</v>
      </c>
      <c r="B7" t="s">
        <v>23</v>
      </c>
      <c r="C7" t="s">
        <v>24</v>
      </c>
    </row>
  </sheetData>
  <mergeCells count="1">
    <mergeCell ref="A1:C1"/>
  </mergeCells>
  <pageMargins left="0.75" right="0.75" top="1" bottom="1" header="0.511811023622047" footer="0.51181102362204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5"/>
  <sheetViews>
    <sheetView workbookViewId="0" zoomScale="100" zoomScaleNormal="100">
      <selection activeCell="D10" sqref="D10"/>
    </sheetView>
  </sheetViews>
  <sheetFormatPr defaultRowHeight="15.5" outlineLevelRow="0" outlineLevelCol="0" x14ac:dyDescent="0.35" customHeight="1"/>
  <cols>
    <col min="1" max="1" width="5.7265625" style="2" customWidth="1"/>
    <col min="2" max="2" width="10.453125" customWidth="1"/>
    <col min="3" max="3" width="8.36328125" customWidth="1"/>
    <col min="4" max="4" width="207.08984375" customWidth="1"/>
    <col min="5" max="5" width="56.453125" customWidth="1"/>
    <col min="6" max="6" width="9.81640625" customWidth="1"/>
    <col min="7" max="7" width="255.54296875" customWidth="1"/>
  </cols>
  <sheetData>
    <row r="1" spans="1:7" x14ac:dyDescent="0.25">
      <c r="A1" s="1" t="s">
        <v>25</v>
      </c>
      <c r="B1" s="1"/>
      <c r="C1" s="1"/>
      <c r="D1" s="1"/>
      <c r="E1" s="1"/>
      <c r="F1" s="1"/>
      <c r="G1" s="1"/>
    </row>
    <row r="3" spans="1:7" x14ac:dyDescent="0.25">
      <c r="A3" s="2" t="s">
        <v>26</v>
      </c>
      <c r="B3" t="s">
        <v>27</v>
      </c>
      <c r="C3" t="s">
        <v>10</v>
      </c>
      <c r="D3" t="s">
        <v>11</v>
      </c>
      <c r="E3" t="s">
        <v>12</v>
      </c>
      <c r="F3" t="s">
        <v>28</v>
      </c>
      <c r="G3" t="s">
        <v>29</v>
      </c>
    </row>
    <row r="4" spans="1:7" x14ac:dyDescent="0.25">
      <c r="A4" s="2">
        <v>46188</v>
      </c>
      <c r="B4" t="str">
        <f t="shared" ref="B4:B35" si="0">TEXT(A4,"DDDD")</f>
        <v>Monday</v>
      </c>
      <c r="C4" t="str">
        <f t="shared" ref="C4:C35" si="1">CHOOSE(WEEKDAY(A4,2),"Push","Pull","Legs","Push","Pull","Legs","Rest")</f>
        <v>Push</v>
      </c>
      <c r="D4" t="str">
        <f>VLOOKUP(C4,'Plan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4" t="str">
        <f>VLOOKUP(C4,'Plan (PPL Template)'!A4:C7,3,FALSE())</f>
        <v>Upper Chest (priority), Triceps - long head + lateral head</v>
      </c>
      <c r="F4" t="s">
        <v>30</v>
      </c>
      <c r="G4" t="s">
        <v>31</v>
      </c>
    </row>
    <row r="5" spans="1:7" x14ac:dyDescent="0.25">
      <c r="A5" s="2">
        <v>46189</v>
      </c>
      <c r="B5" t="str">
        <f t="shared" si="0"/>
        <v>Tuesday</v>
      </c>
      <c r="C5" t="str">
        <f t="shared" si="1"/>
        <v>Pull</v>
      </c>
      <c r="D5" t="str">
        <f>VLOOKUP(C5,'Plan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5" t="str">
        <f>VLOOKUP(C5,'Plan (PPL Template)'!A4:C7,3,FALSE())</f>
        <v>Lat Width, Back Thickness, Rear Delts/Posture, Biceps, Forearms</v>
      </c>
      <c r="F5" t="s">
        <v>32</v>
      </c>
      <c r="G5" t="s">
        <v>33</v>
      </c>
    </row>
    <row r="6" spans="1:7" x14ac:dyDescent="0.25">
      <c r="A6" s="2">
        <v>46190</v>
      </c>
      <c r="B6" t="str">
        <f t="shared" si="0"/>
        <v>Wednesday</v>
      </c>
      <c r="C6" t="s">
        <v>34</v>
      </c>
      <c r="D6" t="s">
        <v>35</v>
      </c>
      <c r="E6" t="e">
        <f>VLOOKUP(C6,'Plan (PPL Template)'!A4:C7,3,FALSE())</f>
        <v>#N/A</v>
      </c>
      <c r="F6" t="s">
        <v>32</v>
      </c>
      <c r="G6" t="s">
        <v>36</v>
      </c>
    </row>
    <row r="7" spans="1:7" x14ac:dyDescent="0.25">
      <c r="A7" s="2">
        <v>46191</v>
      </c>
      <c r="B7" t="str">
        <f t="shared" si="0"/>
        <v>Thursday</v>
      </c>
      <c r="C7" t="str">
        <f t="shared" si="1"/>
        <v>Push</v>
      </c>
      <c r="D7" t="str">
        <f>VLOOKUP(C7,'Plan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7" t="str">
        <f>VLOOKUP(C7,'Plan (PPL Template)'!A4:C7,3,FALSE())</f>
        <v>Upper Chest (priority), Triceps - long head + lateral head</v>
      </c>
      <c r="F7" t="s">
        <v>32</v>
      </c>
      <c r="G7" t="s">
        <v>37</v>
      </c>
    </row>
    <row r="8" spans="1:7" x14ac:dyDescent="0.25">
      <c r="A8" s="2">
        <v>46192</v>
      </c>
      <c r="B8" t="str">
        <f t="shared" si="0"/>
        <v>Friday</v>
      </c>
      <c r="C8" t="str">
        <f t="shared" si="1"/>
        <v>Pull</v>
      </c>
      <c r="D8" t="str">
        <f>VLOOKUP(C8,'Plan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8" t="str">
        <f>VLOOKUP(C8,'Plan (PPL Template)'!A4:C7,3,FALSE())</f>
        <v>Lat Width, Back Thickness, Rear Delts/Posture, Biceps, Forearms</v>
      </c>
      <c r="F8" t="s">
        <v>32</v>
      </c>
      <c r="G8" t="s">
        <v>38</v>
      </c>
    </row>
    <row r="9" spans="1:6" x14ac:dyDescent="0.25">
      <c r="A9" s="2">
        <v>46193</v>
      </c>
      <c r="B9" t="str">
        <f t="shared" si="0"/>
        <v>Saturday</v>
      </c>
      <c r="C9" t="str">
        <f t="shared" si="1"/>
        <v>Legs</v>
      </c>
      <c r="D9" t="str">
        <f>VLOOKUP(C9,'Plan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9" t="str">
        <f>VLOOKUP(C9,'Plan (PPL Template)'!A4:C7,3,FALSE())</f>
        <v>Quads, Hamstrings, Calves, Shoulders (medial+posterior delt), Core</v>
      </c>
      <c r="F9" t="s">
        <v>32</v>
      </c>
    </row>
    <row r="10" spans="1:5" x14ac:dyDescent="0.25">
      <c r="A10" s="2">
        <v>46194</v>
      </c>
      <c r="B10" t="str">
        <f t="shared" si="0"/>
        <v>Sunday</v>
      </c>
      <c r="C10" t="str">
        <f t="shared" si="1"/>
        <v>Rest</v>
      </c>
      <c r="D10" t="str">
        <f>VLOOKUP(C10,'Plan (PPL Template)'!A4:C7,2,FALSE())</f>
        <v>Rest Day - Recovery, mobility, sleep, magnesium at night</v>
      </c>
      <c r="E10" t="str">
        <f>VLOOKUP(C10,'Plan (PPL Template)'!A4:C7,3,FALSE())</f>
        <v>Recovery</v>
      </c>
    </row>
    <row r="11" spans="1:6" x14ac:dyDescent="0.25">
      <c r="A11" s="2">
        <v>46195</v>
      </c>
      <c r="B11" t="str">
        <f t="shared" si="0"/>
        <v>Monday</v>
      </c>
      <c r="C11" t="str">
        <f t="shared" si="1"/>
        <v>Push</v>
      </c>
      <c r="D11" t="str">
        <f>VLOOKUP(C11,'Plan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1" t="str">
        <f>VLOOKUP(C11,'Plan (PPL Template)'!A4:C7,3,FALSE())</f>
        <v>Upper Chest (priority), Triceps - long head + lateral head</v>
      </c>
      <c r="F11" t="s">
        <v>32</v>
      </c>
    </row>
    <row r="12" spans="1:6" x14ac:dyDescent="0.25">
      <c r="A12" s="2">
        <v>46196</v>
      </c>
      <c r="B12" t="str">
        <f t="shared" si="0"/>
        <v>Tuesday</v>
      </c>
      <c r="C12" t="str">
        <f t="shared" si="1"/>
        <v>Pull</v>
      </c>
      <c r="D12" t="str">
        <f>VLOOKUP(C12,'Plan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2" t="str">
        <f>VLOOKUP(C12,'Plan (PPL Template)'!A4:C7,3,FALSE())</f>
        <v>Lat Width, Back Thickness, Rear Delts/Posture, Biceps, Forearms</v>
      </c>
      <c r="F12" t="s">
        <v>32</v>
      </c>
    </row>
    <row r="13" spans="1:6" x14ac:dyDescent="0.25">
      <c r="A13" s="2">
        <v>46197</v>
      </c>
      <c r="B13" t="str">
        <f t="shared" si="0"/>
        <v>Wednesday</v>
      </c>
      <c r="C13" t="str">
        <f t="shared" si="1"/>
        <v>Legs</v>
      </c>
      <c r="D13" t="str">
        <f>VLOOKUP(C13,'Plan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3" t="str">
        <f>VLOOKUP(C13,'Plan (PPL Template)'!A4:C7,3,FALSE())</f>
        <v>Quads, Hamstrings, Calves, Shoulders (medial+posterior delt), Core</v>
      </c>
      <c r="F13" t="s">
        <v>32</v>
      </c>
    </row>
    <row r="14" spans="1:6" x14ac:dyDescent="0.25">
      <c r="A14" s="2">
        <v>46198</v>
      </c>
      <c r="B14" t="str">
        <f t="shared" si="0"/>
        <v>Thursday</v>
      </c>
      <c r="C14" t="str">
        <f t="shared" si="1"/>
        <v>Push</v>
      </c>
      <c r="D14" t="str">
        <f>VLOOKUP(C14,'Plan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4" t="str">
        <f>VLOOKUP(C14,'Plan (PPL Template)'!A4:C7,3,FALSE())</f>
        <v>Upper Chest (priority), Triceps - long head + lateral head</v>
      </c>
      <c r="F14" t="s">
        <v>32</v>
      </c>
    </row>
    <row r="15" spans="1:6" x14ac:dyDescent="0.25">
      <c r="A15" s="2">
        <v>46199</v>
      </c>
      <c r="B15" t="str">
        <f t="shared" si="0"/>
        <v>Friday</v>
      </c>
      <c r="C15" t="str">
        <f t="shared" si="1"/>
        <v>Pull</v>
      </c>
      <c r="D15" t="str">
        <f>VLOOKUP(C15,'Plan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5" t="str">
        <f>VLOOKUP(C15,'Plan (PPL Template)'!A4:C7,3,FALSE())</f>
        <v>Lat Width, Back Thickness, Rear Delts/Posture, Biceps, Forearms</v>
      </c>
      <c r="F15" t="s">
        <v>32</v>
      </c>
    </row>
    <row r="16" spans="1:6" x14ac:dyDescent="0.25">
      <c r="A16" s="2">
        <v>46200</v>
      </c>
      <c r="B16" t="str">
        <f t="shared" si="0"/>
        <v>Saturday</v>
      </c>
      <c r="C16" t="str">
        <f t="shared" si="1"/>
        <v>Legs</v>
      </c>
      <c r="D16" t="str">
        <f>VLOOKUP(C16,'Plan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6" t="str">
        <f>VLOOKUP(C16,'Plan (PPL Template)'!A4:C7,3,FALSE())</f>
        <v>Quads, Hamstrings, Calves, Shoulders (medial+posterior delt), Core</v>
      </c>
      <c r="F16" t="s">
        <v>32</v>
      </c>
    </row>
    <row r="17" spans="1:5" x14ac:dyDescent="0.25">
      <c r="A17" s="2">
        <v>46201</v>
      </c>
      <c r="B17" t="str">
        <f t="shared" si="0"/>
        <v>Sunday</v>
      </c>
      <c r="C17" t="str">
        <f t="shared" si="1"/>
        <v>Rest</v>
      </c>
      <c r="D17" t="str">
        <f>VLOOKUP(C17,'Plan (PPL Template)'!A4:C7,2,FALSE())</f>
        <v>Rest Day - Recovery, mobility, sleep, magnesium at night</v>
      </c>
      <c r="E17" t="str">
        <f>VLOOKUP(C17,'Plan (PPL Template)'!A4:C7,3,FALSE())</f>
        <v>Recovery</v>
      </c>
    </row>
    <row r="18" spans="1:6" x14ac:dyDescent="0.25">
      <c r="A18" s="2">
        <v>46202</v>
      </c>
      <c r="B18" t="str">
        <f t="shared" si="0"/>
        <v>Monday</v>
      </c>
      <c r="C18" t="str">
        <f t="shared" si="1"/>
        <v>Push</v>
      </c>
      <c r="D18" t="str">
        <f>VLOOKUP(C18,'Plan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8" t="str">
        <f>VLOOKUP(C18,'Plan (PPL Template)'!A4:C7,3,FALSE())</f>
        <v>Upper Chest (priority), Triceps - long head + lateral head</v>
      </c>
      <c r="F18" t="s">
        <v>32</v>
      </c>
    </row>
    <row r="19" spans="1:6" x14ac:dyDescent="0.25">
      <c r="A19" s="2">
        <v>46203</v>
      </c>
      <c r="B19" t="str">
        <f t="shared" si="0"/>
        <v>Tuesday</v>
      </c>
      <c r="C19" t="str">
        <f t="shared" si="1"/>
        <v>Pull</v>
      </c>
      <c r="D19" t="str">
        <f>VLOOKUP(C19,'Plan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9" t="str">
        <f>VLOOKUP(C19,'Plan (PPL Template)'!A4:C7,3,FALSE())</f>
        <v>Lat Width, Back Thickness, Rear Delts/Posture, Biceps, Forearms</v>
      </c>
      <c r="F19" t="s">
        <v>32</v>
      </c>
    </row>
    <row r="20" ht="14.5" customHeight="1" spans="1:6" x14ac:dyDescent="0.25">
      <c r="A20" s="2">
        <v>46204</v>
      </c>
      <c r="B20" t="str">
        <f t="shared" si="0"/>
        <v>Wednesday</v>
      </c>
      <c r="C20" t="str">
        <f t="shared" si="1"/>
        <v>Legs</v>
      </c>
      <c r="D20" t="str">
        <f>VLOOKUP(C20,'Plan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20" t="str">
        <f>VLOOKUP(C20,'Plan (PPL Template)'!A4:C7,3,FALSE())</f>
        <v>Quads, Hamstrings, Calves, Shoulders (medial+posterior delt), Core</v>
      </c>
      <c r="F20" t="s">
        <v>32</v>
      </c>
    </row>
    <row r="21" ht="15.5" customHeight="1" spans="1:6" x14ac:dyDescent="0.25">
      <c r="A21" s="2">
        <v>46205</v>
      </c>
      <c r="B21" t="str">
        <f t="shared" si="0"/>
        <v>Thursday</v>
      </c>
      <c r="C21" t="str">
        <f t="shared" si="1"/>
        <v>Push</v>
      </c>
      <c r="D21" t="str">
        <f>VLOOKUP(C21,'Plan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21" t="str">
        <f>VLOOKUP(C21,'Plan (PPL Template)'!A4:C7,3,FALSE())</f>
        <v>Upper Chest (priority), Triceps - long head + lateral head</v>
      </c>
      <c r="F21" t="s">
        <v>32</v>
      </c>
    </row>
    <row r="22" ht="14.5" customHeight="1" spans="1:6" x14ac:dyDescent="0.25">
      <c r="A22" s="2">
        <v>46206</v>
      </c>
      <c r="B22" t="str">
        <f t="shared" si="0"/>
        <v>Friday</v>
      </c>
      <c r="C22" t="str">
        <f t="shared" si="1"/>
        <v>Pull</v>
      </c>
      <c r="D22" t="str">
        <f>VLOOKUP(C22,'Plan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22" t="str">
        <f>VLOOKUP(C22,'Plan (PPL Template)'!A4:C7,3,FALSE())</f>
        <v>Lat Width, Back Thickness, Rear Delts/Posture, Biceps, Forearms</v>
      </c>
      <c r="F22" t="s">
        <v>32</v>
      </c>
    </row>
    <row r="23" ht="14.5" customHeight="1" spans="1:6" x14ac:dyDescent="0.25">
      <c r="A23" s="2">
        <v>46207</v>
      </c>
      <c r="B23" t="str">
        <f t="shared" si="0"/>
        <v>Saturday</v>
      </c>
      <c r="C23" t="str">
        <f t="shared" si="1"/>
        <v>Legs</v>
      </c>
      <c r="D23" t="str">
        <f>VLOOKUP(C23,'Plan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23" t="str">
        <f>VLOOKUP(C23,'Plan (PPL Template)'!A4:C7,3,FALSE())</f>
        <v>Quads, Hamstrings, Calves, Shoulders (medial+posterior delt), Core</v>
      </c>
      <c r="F23" t="s">
        <v>32</v>
      </c>
    </row>
    <row r="24" ht="14.5" customHeight="1" spans="1:5" x14ac:dyDescent="0.25">
      <c r="A24" s="2">
        <v>46208</v>
      </c>
      <c r="B24" t="str">
        <f t="shared" si="0"/>
        <v>Sunday</v>
      </c>
      <c r="C24" t="str">
        <f t="shared" si="1"/>
        <v>Rest</v>
      </c>
      <c r="D24" t="str">
        <f>VLOOKUP(C24,'Plan (PPL Template)'!A4:C7,2,FALSE())</f>
        <v>Rest Day - Recovery, mobility, sleep, magnesium at night</v>
      </c>
      <c r="E24" t="str">
        <f>VLOOKUP(C24,'Plan (PPL Template)'!A4:C7,3,FALSE())</f>
        <v>Recovery</v>
      </c>
    </row>
    <row r="25" ht="14.5" customHeight="1" spans="1:5" x14ac:dyDescent="0.25">
      <c r="A25" s="2">
        <v>46209</v>
      </c>
      <c r="B25" t="str">
        <f t="shared" si="0"/>
        <v>Monday</v>
      </c>
      <c r="C25" t="str">
        <f t="shared" si="1"/>
        <v>Push</v>
      </c>
      <c r="D25" t="str">
        <f>VLOOKUP(C25,'Plan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25" t="str">
        <f>VLOOKUP(C25,'Plan (PPL Template)'!A4:C7,3,FALSE())</f>
        <v>Upper Chest (priority), Triceps - long head + lateral head</v>
      </c>
    </row>
    <row r="26" ht="14.5" customHeight="1" spans="1:5" x14ac:dyDescent="0.25">
      <c r="A26" s="2">
        <v>46210</v>
      </c>
      <c r="B26" t="str">
        <f t="shared" si="0"/>
        <v>Tuesday</v>
      </c>
      <c r="C26" t="str">
        <f t="shared" si="1"/>
        <v>Pull</v>
      </c>
      <c r="D26" t="str">
        <f>VLOOKUP(C26,'Plan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26" t="str">
        <f>VLOOKUP(C26,'Plan (PPL Template)'!A4:C7,3,FALSE())</f>
        <v>Lat Width, Back Thickness, Rear Delts/Posture, Biceps, Forearms</v>
      </c>
    </row>
    <row r="27" ht="14.5" customHeight="1" spans="1:5" x14ac:dyDescent="0.25">
      <c r="A27" s="2">
        <v>46211</v>
      </c>
      <c r="B27" t="str">
        <f t="shared" si="0"/>
        <v>Wednesday</v>
      </c>
      <c r="C27" t="str">
        <f t="shared" si="1"/>
        <v>Legs</v>
      </c>
      <c r="D27" t="str">
        <f>VLOOKUP(C27,'Plan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27" t="str">
        <f>VLOOKUP(C27,'Plan (PPL Template)'!A4:C7,3,FALSE())</f>
        <v>Quads, Hamstrings, Calves, Shoulders (medial+posterior delt), Core</v>
      </c>
    </row>
    <row r="28" ht="14.5" customHeight="1" spans="1:5" x14ac:dyDescent="0.25">
      <c r="A28" s="2">
        <v>46212</v>
      </c>
      <c r="B28" t="str">
        <f t="shared" si="0"/>
        <v>Thursday</v>
      </c>
      <c r="C28" t="str">
        <f t="shared" si="1"/>
        <v>Push</v>
      </c>
      <c r="D28" t="str">
        <f>VLOOKUP(C28,'Plan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28" t="str">
        <f>VLOOKUP(C28,'Plan (PPL Template)'!A4:C7,3,FALSE())</f>
        <v>Upper Chest (priority), Triceps - long head + lateral head</v>
      </c>
    </row>
    <row r="29" ht="14.5" customHeight="1" spans="1:5" x14ac:dyDescent="0.25">
      <c r="A29" s="2">
        <v>46213</v>
      </c>
      <c r="B29" t="str">
        <f t="shared" si="0"/>
        <v>Friday</v>
      </c>
      <c r="C29" t="str">
        <f t="shared" si="1"/>
        <v>Pull</v>
      </c>
      <c r="D29" t="str">
        <f>VLOOKUP(C29,'Plan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29" t="str">
        <f>VLOOKUP(C29,'Plan (PPL Template)'!A4:C7,3,FALSE())</f>
        <v>Lat Width, Back Thickness, Rear Delts/Posture, Biceps, Forearms</v>
      </c>
    </row>
    <row r="30" ht="14.5" customHeight="1" spans="1:5" x14ac:dyDescent="0.25">
      <c r="A30" s="2">
        <v>46214</v>
      </c>
      <c r="B30" t="str">
        <f t="shared" si="0"/>
        <v>Saturday</v>
      </c>
      <c r="C30" t="str">
        <f t="shared" si="1"/>
        <v>Legs</v>
      </c>
      <c r="D30" t="str">
        <f>VLOOKUP(C30,'Plan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30" t="str">
        <f>VLOOKUP(C30,'Plan (PPL Template)'!A4:C7,3,FALSE())</f>
        <v>Quads, Hamstrings, Calves, Shoulders (medial+posterior delt), Core</v>
      </c>
    </row>
    <row r="31" ht="14.5" customHeight="1" spans="1:5" x14ac:dyDescent="0.25">
      <c r="A31" s="2">
        <v>46215</v>
      </c>
      <c r="B31" t="str">
        <f t="shared" si="0"/>
        <v>Sunday</v>
      </c>
      <c r="C31" t="str">
        <f t="shared" si="1"/>
        <v>Rest</v>
      </c>
      <c r="D31" t="str">
        <f>VLOOKUP(C31,'Plan (PPL Template)'!A4:C7,2,FALSE())</f>
        <v>Rest Day - Recovery, mobility, sleep, magnesium at night</v>
      </c>
      <c r="E31" t="str">
        <f>VLOOKUP(C31,'Plan (PPL Template)'!A4:C7,3,FALSE())</f>
        <v>Recovery</v>
      </c>
    </row>
    <row r="32" ht="14.5" customHeight="1" spans="1:5" x14ac:dyDescent="0.25">
      <c r="A32" s="2">
        <v>46216</v>
      </c>
      <c r="B32" t="str">
        <f t="shared" si="0"/>
        <v>Monday</v>
      </c>
      <c r="C32" t="str">
        <f t="shared" si="1"/>
        <v>Push</v>
      </c>
      <c r="D32" t="str">
        <f>VLOOKUP(C32,'Plan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32" t="str">
        <f>VLOOKUP(C32,'Plan (PPL Template)'!A4:C7,3,FALSE())</f>
        <v>Upper Chest (priority), Triceps - long head + lateral head</v>
      </c>
    </row>
    <row r="33" ht="14.5" customHeight="1" spans="1:5" x14ac:dyDescent="0.25">
      <c r="A33" s="2">
        <v>46217</v>
      </c>
      <c r="B33" t="str">
        <f t="shared" si="0"/>
        <v>Tuesday</v>
      </c>
      <c r="C33" t="str">
        <f t="shared" si="1"/>
        <v>Pull</v>
      </c>
      <c r="D33" t="str">
        <f>VLOOKUP(C33,'Plan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33" t="str">
        <f>VLOOKUP(C33,'Plan (PPL Template)'!A4:C7,3,FALSE())</f>
        <v>Lat Width, Back Thickness, Rear Delts/Posture, Biceps, Forearms</v>
      </c>
    </row>
    <row r="34" ht="14.5" customHeight="1" spans="1:5" x14ac:dyDescent="0.25">
      <c r="A34" s="2">
        <v>46218</v>
      </c>
      <c r="B34" t="str">
        <f t="shared" si="0"/>
        <v>Wednesday</v>
      </c>
      <c r="C34" t="str">
        <f t="shared" si="1"/>
        <v>Legs</v>
      </c>
      <c r="D34" t="str">
        <f>VLOOKUP(C34,'Plan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34" t="str">
        <f>VLOOKUP(C34,'Plan (PPL Template)'!A4:C7,3,FALSE())</f>
        <v>Quads, Hamstrings, Calves, Shoulders (medial+posterior delt), Core</v>
      </c>
    </row>
    <row r="35" ht="14.5" customHeight="1" spans="1:5" x14ac:dyDescent="0.25">
      <c r="A35" s="2">
        <v>46219</v>
      </c>
      <c r="B35" t="str">
        <f t="shared" si="0"/>
        <v>Thursday</v>
      </c>
      <c r="C35" t="str">
        <f t="shared" si="1"/>
        <v>Push</v>
      </c>
      <c r="D35" t="str">
        <f>VLOOKUP(C35,'Plan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35" t="str">
        <f>VLOOKUP(C35,'Plan (PPL Template)'!A4:C7,3,FALSE())</f>
        <v>Upper Chest (priority), Triceps - long head + lateral head</v>
      </c>
    </row>
    <row r="36" ht="14.5" customHeight="1" spans="1:5" x14ac:dyDescent="0.25">
      <c r="A36" s="2">
        <v>46220</v>
      </c>
      <c r="B36" t="str">
        <f t="shared" ref="B36:B67" si="2">TEXT(A36,"DDDD")</f>
        <v>Friday</v>
      </c>
      <c r="C36" t="str">
        <f t="shared" ref="C36:C67" si="3">CHOOSE(WEEKDAY(A36,2),"Push","Pull","Legs","Push","Pull","Legs","Rest")</f>
        <v>Pull</v>
      </c>
      <c r="D36" t="str">
        <f>VLOOKUP(C36,'Plan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36" t="str">
        <f>VLOOKUP(C36,'Plan (PPL Template)'!A4:C7,3,FALSE())</f>
        <v>Lat Width, Back Thickness, Rear Delts/Posture, Biceps, Forearms</v>
      </c>
    </row>
    <row r="37" ht="14.5" customHeight="1" spans="1:5" x14ac:dyDescent="0.25">
      <c r="A37" s="2">
        <v>46221</v>
      </c>
      <c r="B37" t="str">
        <f t="shared" si="2"/>
        <v>Saturday</v>
      </c>
      <c r="C37" t="str">
        <f t="shared" si="3"/>
        <v>Legs</v>
      </c>
      <c r="D37" t="str">
        <f>VLOOKUP(C37,'Plan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37" t="str">
        <f>VLOOKUP(C37,'Plan (PPL Template)'!A4:C7,3,FALSE())</f>
        <v>Quads, Hamstrings, Calves, Shoulders (medial+posterior delt), Core</v>
      </c>
    </row>
    <row r="38" ht="14.5" customHeight="1" spans="1:5" x14ac:dyDescent="0.25">
      <c r="A38" s="2">
        <v>46222</v>
      </c>
      <c r="B38" t="str">
        <f t="shared" si="2"/>
        <v>Sunday</v>
      </c>
      <c r="C38" t="str">
        <f t="shared" si="3"/>
        <v>Rest</v>
      </c>
      <c r="D38" t="str">
        <f>VLOOKUP(C38,'Plan (PPL Template)'!A4:C7,2,FALSE())</f>
        <v>Rest Day - Recovery, mobility, sleep, magnesium at night</v>
      </c>
      <c r="E38" t="str">
        <f>VLOOKUP(C38,'Plan (PPL Template)'!A4:C7,3,FALSE())</f>
        <v>Recovery</v>
      </c>
    </row>
    <row r="39" ht="14.5" customHeight="1" spans="1:5" x14ac:dyDescent="0.25">
      <c r="A39" s="2">
        <v>46223</v>
      </c>
      <c r="B39" t="str">
        <f t="shared" si="2"/>
        <v>Monday</v>
      </c>
      <c r="C39" t="str">
        <f t="shared" si="3"/>
        <v>Push</v>
      </c>
      <c r="D39" t="str">
        <f>VLOOKUP(C39,'Plan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39" t="str">
        <f>VLOOKUP(C39,'Plan (PPL Template)'!A4:C7,3,FALSE())</f>
        <v>Upper Chest (priority), Triceps - long head + lateral head</v>
      </c>
    </row>
    <row r="40" ht="14.5" customHeight="1" spans="1:5" x14ac:dyDescent="0.25">
      <c r="A40" s="2">
        <v>46224</v>
      </c>
      <c r="B40" t="str">
        <f t="shared" si="2"/>
        <v>Tuesday</v>
      </c>
      <c r="C40" t="str">
        <f t="shared" si="3"/>
        <v>Pull</v>
      </c>
      <c r="D40" t="str">
        <f>VLOOKUP(C40,'Plan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40" t="str">
        <f>VLOOKUP(C40,'Plan (PPL Template)'!A4:C7,3,FALSE())</f>
        <v>Lat Width, Back Thickness, Rear Delts/Posture, Biceps, Forearms</v>
      </c>
    </row>
    <row r="41" ht="14.5" customHeight="1" spans="1:5" x14ac:dyDescent="0.25">
      <c r="A41" s="2">
        <v>46225</v>
      </c>
      <c r="B41" t="str">
        <f t="shared" si="2"/>
        <v>Wednesday</v>
      </c>
      <c r="C41" t="str">
        <f t="shared" si="3"/>
        <v>Legs</v>
      </c>
      <c r="D41" t="str">
        <f>VLOOKUP(C41,'Plan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41" t="str">
        <f>VLOOKUP(C41,'Plan (PPL Template)'!A4:C7,3,FALSE())</f>
        <v>Quads, Hamstrings, Calves, Shoulders (medial+posterior delt), Core</v>
      </c>
    </row>
    <row r="42" ht="14.5" customHeight="1" spans="1:5" x14ac:dyDescent="0.25">
      <c r="A42" s="2">
        <v>46226</v>
      </c>
      <c r="B42" t="str">
        <f t="shared" si="2"/>
        <v>Thursday</v>
      </c>
      <c r="C42" t="str">
        <f t="shared" si="3"/>
        <v>Push</v>
      </c>
      <c r="D42" t="str">
        <f>VLOOKUP(C42,'Plan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42" t="str">
        <f>VLOOKUP(C42,'Plan (PPL Template)'!A4:C7,3,FALSE())</f>
        <v>Upper Chest (priority), Triceps - long head + lateral head</v>
      </c>
    </row>
    <row r="43" ht="14.5" customHeight="1" spans="1:5" x14ac:dyDescent="0.25">
      <c r="A43" s="2">
        <v>46227</v>
      </c>
      <c r="B43" t="str">
        <f t="shared" si="2"/>
        <v>Friday</v>
      </c>
      <c r="C43" t="str">
        <f t="shared" si="3"/>
        <v>Pull</v>
      </c>
      <c r="D43" t="str">
        <f>VLOOKUP(C43,'Plan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43" t="str">
        <f>VLOOKUP(C43,'Plan (PPL Template)'!A4:C7,3,FALSE())</f>
        <v>Lat Width, Back Thickness, Rear Delts/Posture, Biceps, Forearms</v>
      </c>
    </row>
    <row r="44" ht="14.5" customHeight="1" spans="1:5" x14ac:dyDescent="0.25">
      <c r="A44" s="2">
        <v>46228</v>
      </c>
      <c r="B44" t="str">
        <f t="shared" si="2"/>
        <v>Saturday</v>
      </c>
      <c r="C44" t="str">
        <f t="shared" si="3"/>
        <v>Legs</v>
      </c>
      <c r="D44" t="str">
        <f>VLOOKUP(C44,'Plan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44" t="str">
        <f>VLOOKUP(C44,'Plan (PPL Template)'!A4:C7,3,FALSE())</f>
        <v>Quads, Hamstrings, Calves, Shoulders (medial+posterior delt), Core</v>
      </c>
    </row>
    <row r="45" ht="14.5" customHeight="1" spans="1:5" x14ac:dyDescent="0.25">
      <c r="A45" s="2">
        <v>46229</v>
      </c>
      <c r="B45" t="str">
        <f t="shared" si="2"/>
        <v>Sunday</v>
      </c>
      <c r="C45" t="str">
        <f t="shared" si="3"/>
        <v>Rest</v>
      </c>
      <c r="D45" t="str">
        <f>VLOOKUP(C45,'Plan (PPL Template)'!A4:C7,2,FALSE())</f>
        <v>Rest Day - Recovery, mobility, sleep, magnesium at night</v>
      </c>
      <c r="E45" t="str">
        <f>VLOOKUP(C45,'Plan (PPL Template)'!A4:C7,3,FALSE())</f>
        <v>Recovery</v>
      </c>
    </row>
    <row r="46" ht="14.5" customHeight="1" spans="1:5" x14ac:dyDescent="0.25">
      <c r="A46" s="2">
        <v>46230</v>
      </c>
      <c r="B46" t="str">
        <f t="shared" si="2"/>
        <v>Monday</v>
      </c>
      <c r="C46" t="str">
        <f t="shared" si="3"/>
        <v>Push</v>
      </c>
      <c r="D46" t="str">
        <f>VLOOKUP(C46,'Plan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46" t="str">
        <f>VLOOKUP(C46,'Plan (PPL Template)'!A4:C7,3,FALSE())</f>
        <v>Upper Chest (priority), Triceps - long head + lateral head</v>
      </c>
    </row>
    <row r="47" ht="14.5" customHeight="1" spans="1:5" x14ac:dyDescent="0.25">
      <c r="A47" s="2">
        <v>46231</v>
      </c>
      <c r="B47" t="str">
        <f t="shared" si="2"/>
        <v>Tuesday</v>
      </c>
      <c r="C47" t="str">
        <f t="shared" si="3"/>
        <v>Pull</v>
      </c>
      <c r="D47" t="str">
        <f>VLOOKUP(C47,'Plan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47" t="str">
        <f>VLOOKUP(C47,'Plan (PPL Template)'!A4:C7,3,FALSE())</f>
        <v>Lat Width, Back Thickness, Rear Delts/Posture, Biceps, Forearms</v>
      </c>
    </row>
    <row r="48" ht="14.5" customHeight="1" spans="1:5" x14ac:dyDescent="0.25">
      <c r="A48" s="2">
        <v>46232</v>
      </c>
      <c r="B48" t="str">
        <f t="shared" si="2"/>
        <v>Wednesday</v>
      </c>
      <c r="C48" t="str">
        <f t="shared" si="3"/>
        <v>Legs</v>
      </c>
      <c r="D48" t="str">
        <f>VLOOKUP(C48,'Plan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48" t="str">
        <f>VLOOKUP(C48,'Plan (PPL Template)'!A4:C7,3,FALSE())</f>
        <v>Quads, Hamstrings, Calves, Shoulders (medial+posterior delt), Core</v>
      </c>
    </row>
    <row r="49" ht="14.5" customHeight="1" spans="1:5" x14ac:dyDescent="0.25">
      <c r="A49" s="2">
        <v>46233</v>
      </c>
      <c r="B49" t="str">
        <f t="shared" si="2"/>
        <v>Thursday</v>
      </c>
      <c r="C49" t="str">
        <f t="shared" si="3"/>
        <v>Push</v>
      </c>
      <c r="D49" t="str">
        <f>VLOOKUP(C49,'Plan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49" t="str">
        <f>VLOOKUP(C49,'Plan (PPL Template)'!A4:C7,3,FALSE())</f>
        <v>Upper Chest (priority), Triceps - long head + lateral head</v>
      </c>
    </row>
    <row r="50" ht="14.5" customHeight="1" spans="1:5" x14ac:dyDescent="0.25">
      <c r="A50" s="2">
        <v>46234</v>
      </c>
      <c r="B50" t="str">
        <f t="shared" si="2"/>
        <v>Friday</v>
      </c>
      <c r="C50" t="str">
        <f t="shared" si="3"/>
        <v>Pull</v>
      </c>
      <c r="D50" t="str">
        <f>VLOOKUP(C50,'Plan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50" t="str">
        <f>VLOOKUP(C50,'Plan (PPL Template)'!A4:C7,3,FALSE())</f>
        <v>Lat Width, Back Thickness, Rear Delts/Posture, Biceps, Forearms</v>
      </c>
    </row>
    <row r="51" ht="14.5" customHeight="1" spans="1:7" x14ac:dyDescent="0.25">
      <c r="A51" s="2">
        <v>46235</v>
      </c>
      <c r="B51" t="str">
        <f t="shared" si="2"/>
        <v>Saturday</v>
      </c>
      <c r="C51" t="str">
        <f t="shared" si="3"/>
        <v>Legs</v>
      </c>
      <c r="D51" t="str">
        <f>VLOOKUP(C51,'Plan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51" t="str">
        <f>VLOOKUP(C51,'Plan (PPL Template)'!A4:C7,3,FALSE())</f>
        <v>Quads, Hamstrings, Calves, Shoulders (medial+posterior delt), Core</v>
      </c>
      <c r="F51" t="s">
        <v>32</v>
      </c>
      <c r="G51" t="s">
        <v>39</v>
      </c>
    </row>
    <row r="52" ht="14.5" customHeight="1" spans="1:5" x14ac:dyDescent="0.25">
      <c r="A52" s="2">
        <v>46236</v>
      </c>
      <c r="B52" t="str">
        <f t="shared" si="2"/>
        <v>Sunday</v>
      </c>
      <c r="C52" t="str">
        <f t="shared" si="3"/>
        <v>Rest</v>
      </c>
      <c r="D52" t="str">
        <f>VLOOKUP(C52,'Plan (PPL Template)'!A4:C7,2,FALSE())</f>
        <v>Rest Day - Recovery, mobility, sleep, magnesium at night</v>
      </c>
      <c r="E52" t="str">
        <f>VLOOKUP(C52,'Plan (PPL Template)'!A4:C7,3,FALSE())</f>
        <v>Recovery</v>
      </c>
    </row>
    <row r="53" ht="14.5" customHeight="1" spans="1:5" x14ac:dyDescent="0.25">
      <c r="A53" s="2">
        <v>46237</v>
      </c>
      <c r="B53" t="str">
        <f t="shared" si="2"/>
        <v>Monday</v>
      </c>
      <c r="C53" t="str">
        <f t="shared" si="3"/>
        <v>Push</v>
      </c>
      <c r="D53" t="str">
        <f>VLOOKUP(C53,'Plan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53" t="str">
        <f>VLOOKUP(C53,'Plan (PPL Template)'!A4:C7,3,FALSE())</f>
        <v>Upper Chest (priority), Triceps - long head + lateral head</v>
      </c>
    </row>
    <row r="54" ht="14.5" customHeight="1" spans="1:5" x14ac:dyDescent="0.25">
      <c r="A54" s="2">
        <v>46238</v>
      </c>
      <c r="B54" t="str">
        <f t="shared" si="2"/>
        <v>Tuesday</v>
      </c>
      <c r="C54" t="str">
        <f t="shared" si="3"/>
        <v>Pull</v>
      </c>
      <c r="D54" t="str">
        <f>VLOOKUP(C54,'Plan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54" t="str">
        <f>VLOOKUP(C54,'Plan (PPL Template)'!A4:C7,3,FALSE())</f>
        <v>Lat Width, Back Thickness, Rear Delts/Posture, Biceps, Forearms</v>
      </c>
    </row>
    <row r="55" ht="14.5" customHeight="1" spans="1:5" x14ac:dyDescent="0.25">
      <c r="A55" s="2">
        <v>46239</v>
      </c>
      <c r="B55" t="str">
        <f t="shared" si="2"/>
        <v>Wednesday</v>
      </c>
      <c r="C55" t="str">
        <f t="shared" si="3"/>
        <v>Legs</v>
      </c>
      <c r="D55" t="str">
        <f>VLOOKUP(C55,'Plan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55" t="str">
        <f>VLOOKUP(C55,'Plan (PPL Template)'!A4:C7,3,FALSE())</f>
        <v>Quads, Hamstrings, Calves, Shoulders (medial+posterior delt), Core</v>
      </c>
    </row>
    <row r="56" ht="14.5" customHeight="1" spans="1:5" x14ac:dyDescent="0.25">
      <c r="A56" s="2">
        <v>46240</v>
      </c>
      <c r="B56" t="str">
        <f t="shared" si="2"/>
        <v>Thursday</v>
      </c>
      <c r="C56" t="str">
        <f t="shared" si="3"/>
        <v>Push</v>
      </c>
      <c r="D56" t="str">
        <f>VLOOKUP(C56,'Plan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56" t="str">
        <f>VLOOKUP(C56,'Plan (PPL Template)'!A4:C7,3,FALSE())</f>
        <v>Upper Chest (priority), Triceps - long head + lateral head</v>
      </c>
    </row>
    <row r="57" ht="14.5" customHeight="1" spans="1:5" x14ac:dyDescent="0.25">
      <c r="A57" s="2">
        <v>46241</v>
      </c>
      <c r="B57" t="str">
        <f t="shared" si="2"/>
        <v>Friday</v>
      </c>
      <c r="C57" t="str">
        <f t="shared" si="3"/>
        <v>Pull</v>
      </c>
      <c r="D57" t="str">
        <f>VLOOKUP(C57,'Plan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57" t="str">
        <f>VLOOKUP(C57,'Plan (PPL Template)'!A4:C7,3,FALSE())</f>
        <v>Lat Width, Back Thickness, Rear Delts/Posture, Biceps, Forearms</v>
      </c>
    </row>
    <row r="58" ht="14.5" customHeight="1" spans="1:5" x14ac:dyDescent="0.25">
      <c r="A58" s="2">
        <v>46242</v>
      </c>
      <c r="B58" t="str">
        <f t="shared" si="2"/>
        <v>Saturday</v>
      </c>
      <c r="C58" t="str">
        <f t="shared" si="3"/>
        <v>Legs</v>
      </c>
      <c r="D58" t="str">
        <f>VLOOKUP(C58,'Plan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58" t="str">
        <f>VLOOKUP(C58,'Plan (PPL Template)'!A4:C7,3,FALSE())</f>
        <v>Quads, Hamstrings, Calves, Shoulders (medial+posterior delt), Core</v>
      </c>
    </row>
    <row r="59" ht="14.5" customHeight="1" spans="1:5" x14ac:dyDescent="0.25">
      <c r="A59" s="2">
        <v>46243</v>
      </c>
      <c r="B59" t="str">
        <f t="shared" si="2"/>
        <v>Sunday</v>
      </c>
      <c r="C59" t="str">
        <f t="shared" si="3"/>
        <v>Rest</v>
      </c>
      <c r="D59" t="str">
        <f>VLOOKUP(C59,'Plan (PPL Template)'!A4:C7,2,FALSE())</f>
        <v>Rest Day - Recovery, mobility, sleep, magnesium at night</v>
      </c>
      <c r="E59" t="str">
        <f>VLOOKUP(C59,'Plan (PPL Template)'!A4:C7,3,FALSE())</f>
        <v>Recovery</v>
      </c>
    </row>
    <row r="60" ht="14.5" customHeight="1" spans="1:5" x14ac:dyDescent="0.25">
      <c r="A60" s="2">
        <v>46244</v>
      </c>
      <c r="B60" t="str">
        <f t="shared" si="2"/>
        <v>Monday</v>
      </c>
      <c r="C60" t="str">
        <f t="shared" si="3"/>
        <v>Push</v>
      </c>
      <c r="D60" t="str">
        <f>VLOOKUP(C60,'Plan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60" t="str">
        <f>VLOOKUP(C60,'Plan (PPL Template)'!A4:C7,3,FALSE())</f>
        <v>Upper Chest (priority), Triceps - long head + lateral head</v>
      </c>
    </row>
    <row r="61" ht="14.5" customHeight="1" spans="1:5" x14ac:dyDescent="0.25">
      <c r="A61" s="2">
        <v>46245</v>
      </c>
      <c r="B61" t="str">
        <f t="shared" si="2"/>
        <v>Tuesday</v>
      </c>
      <c r="C61" t="str">
        <f t="shared" si="3"/>
        <v>Pull</v>
      </c>
      <c r="D61" t="str">
        <f>VLOOKUP(C61,'Plan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61" t="str">
        <f>VLOOKUP(C61,'Plan (PPL Template)'!A4:C7,3,FALSE())</f>
        <v>Lat Width, Back Thickness, Rear Delts/Posture, Biceps, Forearms</v>
      </c>
    </row>
    <row r="62" ht="14.5" customHeight="1" spans="1:5" x14ac:dyDescent="0.25">
      <c r="A62" s="2">
        <v>46246</v>
      </c>
      <c r="B62" t="str">
        <f t="shared" si="2"/>
        <v>Wednesday</v>
      </c>
      <c r="C62" t="str">
        <f t="shared" si="3"/>
        <v>Legs</v>
      </c>
      <c r="D62" t="str">
        <f>VLOOKUP(C62,'Plan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62" t="str">
        <f>VLOOKUP(C62,'Plan (PPL Template)'!A4:C7,3,FALSE())</f>
        <v>Quads, Hamstrings, Calves, Shoulders (medial+posterior delt), Core</v>
      </c>
    </row>
    <row r="63" ht="14.5" customHeight="1" spans="1:5" x14ac:dyDescent="0.25">
      <c r="A63" s="2">
        <v>46247</v>
      </c>
      <c r="B63" t="str">
        <f t="shared" si="2"/>
        <v>Thursday</v>
      </c>
      <c r="C63" t="str">
        <f t="shared" si="3"/>
        <v>Push</v>
      </c>
      <c r="D63" t="str">
        <f>VLOOKUP(C63,'Plan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63" t="str">
        <f>VLOOKUP(C63,'Plan (PPL Template)'!A4:C7,3,FALSE())</f>
        <v>Upper Chest (priority), Triceps - long head + lateral head</v>
      </c>
    </row>
    <row r="64" ht="14.5" customHeight="1" spans="1:5" x14ac:dyDescent="0.25">
      <c r="A64" s="2">
        <v>46248</v>
      </c>
      <c r="B64" t="str">
        <f t="shared" si="2"/>
        <v>Friday</v>
      </c>
      <c r="C64" t="str">
        <f t="shared" si="3"/>
        <v>Pull</v>
      </c>
      <c r="D64" t="str">
        <f>VLOOKUP(C64,'Plan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64" t="str">
        <f>VLOOKUP(C64,'Plan (PPL Template)'!A4:C7,3,FALSE())</f>
        <v>Lat Width, Back Thickness, Rear Delts/Posture, Biceps, Forearms</v>
      </c>
    </row>
    <row r="65" ht="14.5" customHeight="1" spans="1:5" x14ac:dyDescent="0.25">
      <c r="A65" s="2">
        <v>46249</v>
      </c>
      <c r="B65" t="str">
        <f t="shared" si="2"/>
        <v>Saturday</v>
      </c>
      <c r="C65" t="str">
        <f t="shared" si="3"/>
        <v>Legs</v>
      </c>
      <c r="D65" t="str">
        <f>VLOOKUP(C65,'Plan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65" t="str">
        <f>VLOOKUP(C65,'Plan (PPL Template)'!A4:C7,3,FALSE())</f>
        <v>Quads, Hamstrings, Calves, Shoulders (medial+posterior delt), Core</v>
      </c>
    </row>
    <row r="66" ht="14.5" customHeight="1" spans="1:5" x14ac:dyDescent="0.25">
      <c r="A66" s="2">
        <v>46250</v>
      </c>
      <c r="B66" t="str">
        <f t="shared" si="2"/>
        <v>Sunday</v>
      </c>
      <c r="C66" t="str">
        <f t="shared" si="3"/>
        <v>Rest</v>
      </c>
      <c r="D66" t="str">
        <f>VLOOKUP(C66,'Plan (PPL Template)'!A4:C7,2,FALSE())</f>
        <v>Rest Day - Recovery, mobility, sleep, magnesium at night</v>
      </c>
      <c r="E66" t="str">
        <f>VLOOKUP(C66,'Plan (PPL Template)'!A4:C7,3,FALSE())</f>
        <v>Recovery</v>
      </c>
    </row>
    <row r="67" ht="14.5" customHeight="1" spans="1:5" x14ac:dyDescent="0.25">
      <c r="A67" s="2">
        <v>46251</v>
      </c>
      <c r="B67" t="str">
        <f t="shared" si="2"/>
        <v>Monday</v>
      </c>
      <c r="C67" t="str">
        <f t="shared" si="3"/>
        <v>Push</v>
      </c>
      <c r="D67" t="str">
        <f>VLOOKUP(C67,'Plan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67" t="str">
        <f>VLOOKUP(C67,'Plan (PPL Template)'!A4:C7,3,FALSE())</f>
        <v>Upper Chest (priority), Triceps - long head + lateral head</v>
      </c>
    </row>
    <row r="68" ht="14.5" customHeight="1" spans="1:5" x14ac:dyDescent="0.25">
      <c r="A68" s="2">
        <v>46252</v>
      </c>
      <c r="B68" t="str">
        <f t="shared" ref="B68:B99" si="4">TEXT(A68,"DDDD")</f>
        <v>Tuesday</v>
      </c>
      <c r="C68" t="str">
        <f t="shared" ref="C68:C99" si="5">CHOOSE(WEEKDAY(A68,2),"Push","Pull","Legs","Push","Pull","Legs","Rest")</f>
        <v>Pull</v>
      </c>
      <c r="D68" t="str">
        <f>VLOOKUP(C68,'Plan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68" t="str">
        <f>VLOOKUP(C68,'Plan (PPL Template)'!A4:C7,3,FALSE())</f>
        <v>Lat Width, Back Thickness, Rear Delts/Posture, Biceps, Forearms</v>
      </c>
    </row>
    <row r="69" ht="14.5" customHeight="1" spans="1:5" x14ac:dyDescent="0.25">
      <c r="A69" s="2">
        <v>46253</v>
      </c>
      <c r="B69" t="str">
        <f t="shared" si="4"/>
        <v>Wednesday</v>
      </c>
      <c r="C69" t="str">
        <f t="shared" si="5"/>
        <v>Legs</v>
      </c>
      <c r="D69" t="str">
        <f>VLOOKUP(C69,'Plan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69" t="str">
        <f>VLOOKUP(C69,'Plan (PPL Template)'!A4:C7,3,FALSE())</f>
        <v>Quads, Hamstrings, Calves, Shoulders (medial+posterior delt), Core</v>
      </c>
    </row>
    <row r="70" ht="14.5" customHeight="1" spans="1:5" x14ac:dyDescent="0.25">
      <c r="A70" s="2">
        <v>46254</v>
      </c>
      <c r="B70" t="str">
        <f t="shared" si="4"/>
        <v>Thursday</v>
      </c>
      <c r="C70" t="str">
        <f t="shared" si="5"/>
        <v>Push</v>
      </c>
      <c r="D70" t="str">
        <f>VLOOKUP(C70,'Plan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70" t="str">
        <f>VLOOKUP(C70,'Plan (PPL Template)'!A4:C7,3,FALSE())</f>
        <v>Upper Chest (priority), Triceps - long head + lateral head</v>
      </c>
    </row>
    <row r="71" ht="14.5" customHeight="1" spans="1:5" x14ac:dyDescent="0.25">
      <c r="A71" s="2">
        <v>46255</v>
      </c>
      <c r="B71" t="str">
        <f t="shared" si="4"/>
        <v>Friday</v>
      </c>
      <c r="C71" t="str">
        <f t="shared" si="5"/>
        <v>Pull</v>
      </c>
      <c r="D71" t="str">
        <f>VLOOKUP(C71,'Plan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71" t="str">
        <f>VLOOKUP(C71,'Plan (PPL Template)'!A4:C7,3,FALSE())</f>
        <v>Lat Width, Back Thickness, Rear Delts/Posture, Biceps, Forearms</v>
      </c>
    </row>
    <row r="72" ht="14.5" customHeight="1" spans="1:5" x14ac:dyDescent="0.25">
      <c r="A72" s="2">
        <v>46256</v>
      </c>
      <c r="B72" t="str">
        <f t="shared" si="4"/>
        <v>Saturday</v>
      </c>
      <c r="C72" t="str">
        <f t="shared" si="5"/>
        <v>Legs</v>
      </c>
      <c r="D72" t="str">
        <f>VLOOKUP(C72,'Plan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72" t="str">
        <f>VLOOKUP(C72,'Plan (PPL Template)'!A4:C7,3,FALSE())</f>
        <v>Quads, Hamstrings, Calves, Shoulders (medial+posterior delt), Core</v>
      </c>
    </row>
    <row r="73" ht="14.5" customHeight="1" spans="1:5" x14ac:dyDescent="0.25">
      <c r="A73" s="2">
        <v>46257</v>
      </c>
      <c r="B73" t="str">
        <f t="shared" si="4"/>
        <v>Sunday</v>
      </c>
      <c r="C73" t="str">
        <f t="shared" si="5"/>
        <v>Rest</v>
      </c>
      <c r="D73" t="str">
        <f>VLOOKUP(C73,'Plan (PPL Template)'!A4:C7,2,FALSE())</f>
        <v>Rest Day - Recovery, mobility, sleep, magnesium at night</v>
      </c>
      <c r="E73" t="str">
        <f>VLOOKUP(C73,'Plan (PPL Template)'!A4:C7,3,FALSE())</f>
        <v>Recovery</v>
      </c>
    </row>
    <row r="74" ht="14.5" customHeight="1" spans="1:5" x14ac:dyDescent="0.25">
      <c r="A74" s="2">
        <v>46258</v>
      </c>
      <c r="B74" t="str">
        <f t="shared" si="4"/>
        <v>Monday</v>
      </c>
      <c r="C74" t="str">
        <f t="shared" si="5"/>
        <v>Push</v>
      </c>
      <c r="D74" t="str">
        <f>VLOOKUP(C74,'Plan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74" t="str">
        <f>VLOOKUP(C74,'Plan (PPL Template)'!A4:C7,3,FALSE())</f>
        <v>Upper Chest (priority), Triceps - long head + lateral head</v>
      </c>
    </row>
    <row r="75" ht="14.5" customHeight="1" spans="1:5" x14ac:dyDescent="0.25">
      <c r="A75" s="2">
        <v>46259</v>
      </c>
      <c r="B75" t="str">
        <f t="shared" si="4"/>
        <v>Tuesday</v>
      </c>
      <c r="C75" t="str">
        <f t="shared" si="5"/>
        <v>Pull</v>
      </c>
      <c r="D75" t="str">
        <f>VLOOKUP(C75,'Plan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75" t="str">
        <f>VLOOKUP(C75,'Plan (PPL Template)'!A4:C7,3,FALSE())</f>
        <v>Lat Width, Back Thickness, Rear Delts/Posture, Biceps, Forearms</v>
      </c>
    </row>
    <row r="76" ht="14.5" customHeight="1" spans="1:5" x14ac:dyDescent="0.25">
      <c r="A76" s="2">
        <v>46260</v>
      </c>
      <c r="B76" t="str">
        <f t="shared" si="4"/>
        <v>Wednesday</v>
      </c>
      <c r="C76" t="str">
        <f t="shared" si="5"/>
        <v>Legs</v>
      </c>
      <c r="D76" t="str">
        <f>VLOOKUP(C76,'Plan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76" t="str">
        <f>VLOOKUP(C76,'Plan (PPL Template)'!A4:C7,3,FALSE())</f>
        <v>Quads, Hamstrings, Calves, Shoulders (medial+posterior delt), Core</v>
      </c>
    </row>
    <row r="77" ht="14.5" customHeight="1" spans="1:5" x14ac:dyDescent="0.25">
      <c r="A77" s="2">
        <v>46261</v>
      </c>
      <c r="B77" t="str">
        <f t="shared" si="4"/>
        <v>Thursday</v>
      </c>
      <c r="C77" t="str">
        <f t="shared" si="5"/>
        <v>Push</v>
      </c>
      <c r="D77" t="str">
        <f>VLOOKUP(C77,'Plan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77" t="str">
        <f>VLOOKUP(C77,'Plan (PPL Template)'!A4:C7,3,FALSE())</f>
        <v>Upper Chest (priority), Triceps - long head + lateral head</v>
      </c>
    </row>
    <row r="78" ht="14.5" customHeight="1" spans="1:5" x14ac:dyDescent="0.25">
      <c r="A78" s="2">
        <v>46262</v>
      </c>
      <c r="B78" t="str">
        <f t="shared" si="4"/>
        <v>Friday</v>
      </c>
      <c r="C78" t="str">
        <f t="shared" si="5"/>
        <v>Pull</v>
      </c>
      <c r="D78" t="str">
        <f>VLOOKUP(C78,'Plan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78" t="str">
        <f>VLOOKUP(C78,'Plan (PPL Template)'!A4:C7,3,FALSE())</f>
        <v>Lat Width, Back Thickness, Rear Delts/Posture, Biceps, Forearms</v>
      </c>
    </row>
    <row r="79" ht="14.5" customHeight="1" spans="1:5" x14ac:dyDescent="0.25">
      <c r="A79" s="2">
        <v>46263</v>
      </c>
      <c r="B79" t="str">
        <f t="shared" si="4"/>
        <v>Saturday</v>
      </c>
      <c r="C79" t="str">
        <f t="shared" si="5"/>
        <v>Legs</v>
      </c>
      <c r="D79" t="str">
        <f>VLOOKUP(C79,'Plan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79" t="str">
        <f>VLOOKUP(C79,'Plan (PPL Template)'!A4:C7,3,FALSE())</f>
        <v>Quads, Hamstrings, Calves, Shoulders (medial+posterior delt), Core</v>
      </c>
    </row>
    <row r="80" ht="14.5" customHeight="1" spans="1:5" x14ac:dyDescent="0.25">
      <c r="A80" s="2">
        <v>46264</v>
      </c>
      <c r="B80" t="str">
        <f t="shared" si="4"/>
        <v>Sunday</v>
      </c>
      <c r="C80" t="str">
        <f t="shared" si="5"/>
        <v>Rest</v>
      </c>
      <c r="D80" t="str">
        <f>VLOOKUP(C80,'Plan (PPL Template)'!A4:C7,2,FALSE())</f>
        <v>Rest Day - Recovery, mobility, sleep, magnesium at night</v>
      </c>
      <c r="E80" t="str">
        <f>VLOOKUP(C80,'Plan (PPL Template)'!A4:C7,3,FALSE())</f>
        <v>Recovery</v>
      </c>
    </row>
    <row r="81" ht="14.5" customHeight="1" spans="1:5" x14ac:dyDescent="0.25">
      <c r="A81" s="2">
        <v>46265</v>
      </c>
      <c r="B81" t="str">
        <f t="shared" si="4"/>
        <v>Monday</v>
      </c>
      <c r="C81" t="str">
        <f t="shared" si="5"/>
        <v>Push</v>
      </c>
      <c r="D81" t="str">
        <f>VLOOKUP(C81,'Plan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81" t="str">
        <f>VLOOKUP(C81,'Plan (PPL Template)'!A4:C7,3,FALSE())</f>
        <v>Upper Chest (priority), Triceps - long head + lateral head</v>
      </c>
    </row>
    <row r="82" ht="14.5" customHeight="1" spans="1:5" x14ac:dyDescent="0.25">
      <c r="A82" s="2">
        <v>46266</v>
      </c>
      <c r="B82" t="str">
        <f t="shared" si="4"/>
        <v>Tuesday</v>
      </c>
      <c r="C82" t="str">
        <f t="shared" si="5"/>
        <v>Pull</v>
      </c>
      <c r="D82" t="str">
        <f>VLOOKUP(C82,'Plan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82" t="str">
        <f>VLOOKUP(C82,'Plan (PPL Template)'!A4:C7,3,FALSE())</f>
        <v>Lat Width, Back Thickness, Rear Delts/Posture, Biceps, Forearms</v>
      </c>
    </row>
    <row r="83" ht="14.5" customHeight="1" spans="1:5" x14ac:dyDescent="0.25">
      <c r="A83" s="2">
        <v>46267</v>
      </c>
      <c r="B83" t="str">
        <f t="shared" si="4"/>
        <v>Wednesday</v>
      </c>
      <c r="C83" t="str">
        <f t="shared" si="5"/>
        <v>Legs</v>
      </c>
      <c r="D83" t="str">
        <f>VLOOKUP(C83,'Plan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83" t="str">
        <f>VLOOKUP(C83,'Plan (PPL Template)'!A4:C7,3,FALSE())</f>
        <v>Quads, Hamstrings, Calves, Shoulders (medial+posterior delt), Core</v>
      </c>
    </row>
    <row r="84" ht="14.5" customHeight="1" spans="1:5" x14ac:dyDescent="0.25">
      <c r="A84" s="2">
        <v>46268</v>
      </c>
      <c r="B84" t="str">
        <f t="shared" si="4"/>
        <v>Thursday</v>
      </c>
      <c r="C84" t="str">
        <f t="shared" si="5"/>
        <v>Push</v>
      </c>
      <c r="D84" t="str">
        <f>VLOOKUP(C84,'Plan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84" t="str">
        <f>VLOOKUP(C84,'Plan (PPL Template)'!A4:C7,3,FALSE())</f>
        <v>Upper Chest (priority), Triceps - long head + lateral head</v>
      </c>
    </row>
    <row r="85" ht="14.5" customHeight="1" spans="1:5" x14ac:dyDescent="0.25">
      <c r="A85" s="2">
        <v>46269</v>
      </c>
      <c r="B85" t="str">
        <f t="shared" si="4"/>
        <v>Friday</v>
      </c>
      <c r="C85" t="str">
        <f t="shared" si="5"/>
        <v>Pull</v>
      </c>
      <c r="D85" t="str">
        <f>VLOOKUP(C85,'Plan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85" t="str">
        <f>VLOOKUP(C85,'Plan (PPL Template)'!A4:C7,3,FALSE())</f>
        <v>Lat Width, Back Thickness, Rear Delts/Posture, Biceps, Forearms</v>
      </c>
    </row>
    <row r="86" ht="14.5" customHeight="1" spans="1:5" x14ac:dyDescent="0.25">
      <c r="A86" s="2">
        <v>46270</v>
      </c>
      <c r="B86" t="str">
        <f t="shared" si="4"/>
        <v>Saturday</v>
      </c>
      <c r="C86" t="str">
        <f t="shared" si="5"/>
        <v>Legs</v>
      </c>
      <c r="D86" t="str">
        <f>VLOOKUP(C86,'Plan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86" t="str">
        <f>VLOOKUP(C86,'Plan (PPL Template)'!A4:C7,3,FALSE())</f>
        <v>Quads, Hamstrings, Calves, Shoulders (medial+posterior delt), Core</v>
      </c>
    </row>
    <row r="87" ht="14.5" customHeight="1" spans="1:5" x14ac:dyDescent="0.25">
      <c r="A87" s="2">
        <v>46271</v>
      </c>
      <c r="B87" t="str">
        <f t="shared" si="4"/>
        <v>Sunday</v>
      </c>
      <c r="C87" t="str">
        <f t="shared" si="5"/>
        <v>Rest</v>
      </c>
      <c r="D87" t="str">
        <f>VLOOKUP(C87,'Plan (PPL Template)'!A4:C7,2,FALSE())</f>
        <v>Rest Day - Recovery, mobility, sleep, magnesium at night</v>
      </c>
      <c r="E87" t="str">
        <f>VLOOKUP(C87,'Plan (PPL Template)'!A4:C7,3,FALSE())</f>
        <v>Recovery</v>
      </c>
    </row>
    <row r="88" ht="14.5" customHeight="1" spans="1:5" x14ac:dyDescent="0.25">
      <c r="A88" s="2">
        <v>46272</v>
      </c>
      <c r="B88" t="str">
        <f t="shared" si="4"/>
        <v>Monday</v>
      </c>
      <c r="C88" t="str">
        <f t="shared" si="5"/>
        <v>Push</v>
      </c>
      <c r="D88" t="str">
        <f>VLOOKUP(C88,'Plan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88" t="str">
        <f>VLOOKUP(C88,'Plan (PPL Template)'!A4:C7,3,FALSE())</f>
        <v>Upper Chest (priority), Triceps - long head + lateral head</v>
      </c>
    </row>
    <row r="89" ht="14.5" customHeight="1" spans="1:5" x14ac:dyDescent="0.25">
      <c r="A89" s="2">
        <v>46273</v>
      </c>
      <c r="B89" t="str">
        <f t="shared" si="4"/>
        <v>Tuesday</v>
      </c>
      <c r="C89" t="str">
        <f t="shared" si="5"/>
        <v>Pull</v>
      </c>
      <c r="D89" t="str">
        <f>VLOOKUP(C89,'Plan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89" t="str">
        <f>VLOOKUP(C89,'Plan (PPL Template)'!A4:C7,3,FALSE())</f>
        <v>Lat Width, Back Thickness, Rear Delts/Posture, Biceps, Forearms</v>
      </c>
    </row>
    <row r="90" ht="14.5" customHeight="1" spans="1:5" x14ac:dyDescent="0.25">
      <c r="A90" s="2">
        <v>46274</v>
      </c>
      <c r="B90" t="str">
        <f t="shared" si="4"/>
        <v>Wednesday</v>
      </c>
      <c r="C90" t="str">
        <f t="shared" si="5"/>
        <v>Legs</v>
      </c>
      <c r="D90" t="str">
        <f>VLOOKUP(C90,'Plan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90" t="str">
        <f>VLOOKUP(C90,'Plan (PPL Template)'!A4:C7,3,FALSE())</f>
        <v>Quads, Hamstrings, Calves, Shoulders (medial+posterior delt), Core</v>
      </c>
    </row>
    <row r="91" ht="14.5" customHeight="1" spans="1:5" x14ac:dyDescent="0.25">
      <c r="A91" s="2">
        <v>46275</v>
      </c>
      <c r="B91" t="str">
        <f t="shared" si="4"/>
        <v>Thursday</v>
      </c>
      <c r="C91" t="str">
        <f t="shared" si="5"/>
        <v>Push</v>
      </c>
      <c r="D91" t="str">
        <f>VLOOKUP(C91,'Plan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91" t="str">
        <f>VLOOKUP(C91,'Plan (PPL Template)'!A4:C7,3,FALSE())</f>
        <v>Upper Chest (priority), Triceps - long head + lateral head</v>
      </c>
    </row>
    <row r="92" ht="14.5" customHeight="1" spans="1:5" x14ac:dyDescent="0.25">
      <c r="A92" s="2">
        <v>46276</v>
      </c>
      <c r="B92" t="str">
        <f t="shared" si="4"/>
        <v>Friday</v>
      </c>
      <c r="C92" t="str">
        <f t="shared" si="5"/>
        <v>Pull</v>
      </c>
      <c r="D92" t="str">
        <f>VLOOKUP(C92,'Plan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92" t="str">
        <f>VLOOKUP(C92,'Plan (PPL Template)'!A4:C7,3,FALSE())</f>
        <v>Lat Width, Back Thickness, Rear Delts/Posture, Biceps, Forearms</v>
      </c>
    </row>
    <row r="93" ht="14.5" customHeight="1" spans="1:5" x14ac:dyDescent="0.25">
      <c r="A93" s="2">
        <v>46277</v>
      </c>
      <c r="B93" t="str">
        <f t="shared" si="4"/>
        <v>Saturday</v>
      </c>
      <c r="C93" t="str">
        <f t="shared" si="5"/>
        <v>Legs</v>
      </c>
      <c r="D93" t="str">
        <f>VLOOKUP(C93,'Plan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93" t="str">
        <f>VLOOKUP(C93,'Plan (PPL Template)'!A4:C7,3,FALSE())</f>
        <v>Quads, Hamstrings, Calves, Shoulders (medial+posterior delt), Core</v>
      </c>
    </row>
    <row r="94" ht="14.5" customHeight="1" spans="1:5" x14ac:dyDescent="0.25">
      <c r="A94" s="2">
        <v>46278</v>
      </c>
      <c r="B94" t="str">
        <f t="shared" si="4"/>
        <v>Sunday</v>
      </c>
      <c r="C94" t="str">
        <f t="shared" si="5"/>
        <v>Rest</v>
      </c>
      <c r="D94" t="str">
        <f>VLOOKUP(C94,'Plan (PPL Template)'!A4:C7,2,FALSE())</f>
        <v>Rest Day - Recovery, mobility, sleep, magnesium at night</v>
      </c>
      <c r="E94" t="str">
        <f>VLOOKUP(C94,'Plan (PPL Template)'!A4:C7,3,FALSE())</f>
        <v>Recovery</v>
      </c>
    </row>
    <row r="95" ht="14.5" customHeight="1" spans="1:5" x14ac:dyDescent="0.25">
      <c r="A95" s="2">
        <v>46279</v>
      </c>
      <c r="B95" t="str">
        <f t="shared" si="4"/>
        <v>Monday</v>
      </c>
      <c r="C95" t="str">
        <f t="shared" si="5"/>
        <v>Push</v>
      </c>
      <c r="D95" t="str">
        <f>VLOOKUP(C95,'Plan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95" t="str">
        <f>VLOOKUP(C95,'Plan (PPL Template)'!A4:C7,3,FALSE())</f>
        <v>Upper Chest (priority), Triceps - long head + lateral head</v>
      </c>
    </row>
    <row r="96" ht="14.5" customHeight="1" spans="1:5" x14ac:dyDescent="0.25">
      <c r="A96" s="2">
        <v>46280</v>
      </c>
      <c r="B96" t="str">
        <f t="shared" si="4"/>
        <v>Tuesday</v>
      </c>
      <c r="C96" t="str">
        <f t="shared" si="5"/>
        <v>Pull</v>
      </c>
      <c r="D96" t="str">
        <f>VLOOKUP(C96,'Plan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96" t="str">
        <f>VLOOKUP(C96,'Plan (PPL Template)'!A4:C7,3,FALSE())</f>
        <v>Lat Width, Back Thickness, Rear Delts/Posture, Biceps, Forearms</v>
      </c>
    </row>
    <row r="97" ht="14.5" customHeight="1" spans="1:5" x14ac:dyDescent="0.25">
      <c r="A97" s="2">
        <v>46281</v>
      </c>
      <c r="B97" t="str">
        <f t="shared" si="4"/>
        <v>Wednesday</v>
      </c>
      <c r="C97" t="str">
        <f t="shared" si="5"/>
        <v>Legs</v>
      </c>
      <c r="D97" t="str">
        <f>VLOOKUP(C97,'Plan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97" t="str">
        <f>VLOOKUP(C97,'Plan (PPL Template)'!A4:C7,3,FALSE())</f>
        <v>Quads, Hamstrings, Calves, Shoulders (medial+posterior delt), Core</v>
      </c>
    </row>
    <row r="98" ht="14.5" customHeight="1" spans="1:5" x14ac:dyDescent="0.25">
      <c r="A98" s="2">
        <v>46282</v>
      </c>
      <c r="B98" t="str">
        <f t="shared" si="4"/>
        <v>Thursday</v>
      </c>
      <c r="C98" t="str">
        <f t="shared" si="5"/>
        <v>Push</v>
      </c>
      <c r="D98" t="str">
        <f>VLOOKUP(C98,'Plan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98" t="str">
        <f>VLOOKUP(C98,'Plan (PPL Template)'!A4:C7,3,FALSE())</f>
        <v>Upper Chest (priority), Triceps - long head + lateral head</v>
      </c>
    </row>
    <row r="99" ht="14.5" customHeight="1" spans="1:5" x14ac:dyDescent="0.25">
      <c r="A99" s="2">
        <v>46283</v>
      </c>
      <c r="B99" t="str">
        <f t="shared" si="4"/>
        <v>Friday</v>
      </c>
      <c r="C99" t="str">
        <f t="shared" si="5"/>
        <v>Pull</v>
      </c>
      <c r="D99" t="str">
        <f>VLOOKUP(C99,'Plan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99" t="str">
        <f>VLOOKUP(C99,'Plan (PPL Template)'!A4:C7,3,FALSE())</f>
        <v>Lat Width, Back Thickness, Rear Delts/Posture, Biceps, Forearms</v>
      </c>
    </row>
    <row r="100" ht="14.5" customHeight="1" spans="1:5" x14ac:dyDescent="0.25">
      <c r="A100" s="2">
        <v>46284</v>
      </c>
      <c r="B100" t="str">
        <f t="shared" ref="B100:B131" si="6">TEXT(A100,"DDDD")</f>
        <v>Saturday</v>
      </c>
      <c r="C100" t="str">
        <f t="shared" ref="C100:C131" si="7">CHOOSE(WEEKDAY(A100,2),"Push","Pull","Legs","Push","Pull","Legs","Rest")</f>
        <v>Legs</v>
      </c>
      <c r="D100" t="str">
        <f>VLOOKUP(C100,'Plan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00" t="str">
        <f>VLOOKUP(C100,'Plan (PPL Template)'!A4:C7,3,FALSE())</f>
        <v>Quads, Hamstrings, Calves, Shoulders (medial+posterior delt), Core</v>
      </c>
    </row>
    <row r="101" ht="14.5" customHeight="1" spans="1:5" x14ac:dyDescent="0.25">
      <c r="A101" s="2">
        <v>46285</v>
      </c>
      <c r="B101" t="str">
        <f t="shared" si="6"/>
        <v>Sunday</v>
      </c>
      <c r="C101" t="str">
        <f t="shared" si="7"/>
        <v>Rest</v>
      </c>
      <c r="D101" t="str">
        <f>VLOOKUP(C101,'Plan (PPL Template)'!A4:C7,2,FALSE())</f>
        <v>Rest Day - Recovery, mobility, sleep, magnesium at night</v>
      </c>
      <c r="E101" t="str">
        <f>VLOOKUP(C101,'Plan (PPL Template)'!A4:C7,3,FALSE())</f>
        <v>Recovery</v>
      </c>
    </row>
    <row r="102" ht="14.5" customHeight="1" spans="1:5" x14ac:dyDescent="0.25">
      <c r="A102" s="2">
        <v>46286</v>
      </c>
      <c r="B102" t="str">
        <f t="shared" si="6"/>
        <v>Monday</v>
      </c>
      <c r="C102" t="str">
        <f t="shared" si="7"/>
        <v>Push</v>
      </c>
      <c r="D102" t="str">
        <f>VLOOKUP(C102,'Plan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02" t="str">
        <f>VLOOKUP(C102,'Plan (PPL Template)'!A4:C7,3,FALSE())</f>
        <v>Upper Chest (priority), Triceps - long head + lateral head</v>
      </c>
    </row>
    <row r="103" ht="14.5" customHeight="1" spans="1:5" x14ac:dyDescent="0.25">
      <c r="A103" s="2">
        <v>46287</v>
      </c>
      <c r="B103" t="str">
        <f t="shared" si="6"/>
        <v>Tuesday</v>
      </c>
      <c r="C103" t="str">
        <f t="shared" si="7"/>
        <v>Pull</v>
      </c>
      <c r="D103" t="str">
        <f>VLOOKUP(C103,'Plan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03" t="str">
        <f>VLOOKUP(C103,'Plan (PPL Template)'!A4:C7,3,FALSE())</f>
        <v>Lat Width, Back Thickness, Rear Delts/Posture, Biceps, Forearms</v>
      </c>
    </row>
    <row r="104" ht="14.5" customHeight="1" spans="1:5" x14ac:dyDescent="0.25">
      <c r="A104" s="2">
        <v>46288</v>
      </c>
      <c r="B104" t="str">
        <f t="shared" si="6"/>
        <v>Wednesday</v>
      </c>
      <c r="C104" t="str">
        <f t="shared" si="7"/>
        <v>Legs</v>
      </c>
      <c r="D104" t="str">
        <f>VLOOKUP(C104,'Plan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04" t="str">
        <f>VLOOKUP(C104,'Plan (PPL Template)'!A4:C7,3,FALSE())</f>
        <v>Quads, Hamstrings, Calves, Shoulders (medial+posterior delt), Core</v>
      </c>
    </row>
    <row r="105" ht="14.5" customHeight="1" spans="1:5" x14ac:dyDescent="0.25">
      <c r="A105" s="2">
        <v>46289</v>
      </c>
      <c r="B105" t="str">
        <f t="shared" si="6"/>
        <v>Thursday</v>
      </c>
      <c r="C105" t="str">
        <f t="shared" si="7"/>
        <v>Push</v>
      </c>
      <c r="D105" t="str">
        <f>VLOOKUP(C105,'Plan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05" t="str">
        <f>VLOOKUP(C105,'Plan (PPL Template)'!A4:C7,3,FALSE())</f>
        <v>Upper Chest (priority), Triceps - long head + lateral head</v>
      </c>
    </row>
    <row r="106" ht="14.5" customHeight="1" spans="1:5" x14ac:dyDescent="0.25">
      <c r="A106" s="2">
        <v>46290</v>
      </c>
      <c r="B106" t="str">
        <f t="shared" si="6"/>
        <v>Friday</v>
      </c>
      <c r="C106" t="str">
        <f t="shared" si="7"/>
        <v>Pull</v>
      </c>
      <c r="D106" t="str">
        <f>VLOOKUP(C106,'Plan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06" t="str">
        <f>VLOOKUP(C106,'Plan (PPL Template)'!A4:C7,3,FALSE())</f>
        <v>Lat Width, Back Thickness, Rear Delts/Posture, Biceps, Forearms</v>
      </c>
    </row>
    <row r="107" ht="14.5" customHeight="1" spans="1:5" x14ac:dyDescent="0.25">
      <c r="A107" s="2">
        <v>46291</v>
      </c>
      <c r="B107" t="str">
        <f t="shared" si="6"/>
        <v>Saturday</v>
      </c>
      <c r="C107" t="str">
        <f t="shared" si="7"/>
        <v>Legs</v>
      </c>
      <c r="D107" t="str">
        <f>VLOOKUP(C107,'Plan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07" t="str">
        <f>VLOOKUP(C107,'Plan (PPL Template)'!A4:C7,3,FALSE())</f>
        <v>Quads, Hamstrings, Calves, Shoulders (medial+posterior delt), Core</v>
      </c>
    </row>
    <row r="108" ht="14.5" customHeight="1" spans="1:5" x14ac:dyDescent="0.25">
      <c r="A108" s="2">
        <v>46292</v>
      </c>
      <c r="B108" t="str">
        <f t="shared" si="6"/>
        <v>Sunday</v>
      </c>
      <c r="C108" t="str">
        <f t="shared" si="7"/>
        <v>Rest</v>
      </c>
      <c r="D108" t="str">
        <f>VLOOKUP(C108,'Plan (PPL Template)'!A4:C7,2,FALSE())</f>
        <v>Rest Day - Recovery, mobility, sleep, magnesium at night</v>
      </c>
      <c r="E108" t="str">
        <f>VLOOKUP(C108,'Plan (PPL Template)'!A4:C7,3,FALSE())</f>
        <v>Recovery</v>
      </c>
    </row>
    <row r="109" ht="14.5" customHeight="1" spans="1:5" x14ac:dyDescent="0.25">
      <c r="A109" s="2">
        <v>46293</v>
      </c>
      <c r="B109" t="str">
        <f t="shared" si="6"/>
        <v>Monday</v>
      </c>
      <c r="C109" t="str">
        <f t="shared" si="7"/>
        <v>Push</v>
      </c>
      <c r="D109" t="str">
        <f>VLOOKUP(C109,'Plan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09" t="str">
        <f>VLOOKUP(C109,'Plan (PPL Template)'!A4:C7,3,FALSE())</f>
        <v>Upper Chest (priority), Triceps - long head + lateral head</v>
      </c>
    </row>
    <row r="110" ht="14.5" customHeight="1" spans="1:5" x14ac:dyDescent="0.25">
      <c r="A110" s="2">
        <v>46294</v>
      </c>
      <c r="B110" t="str">
        <f t="shared" si="6"/>
        <v>Tuesday</v>
      </c>
      <c r="C110" t="str">
        <f t="shared" si="7"/>
        <v>Pull</v>
      </c>
      <c r="D110" t="str">
        <f>VLOOKUP(C110,'Plan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10" t="str">
        <f>VLOOKUP(C110,'Plan (PPL Template)'!A4:C7,3,FALSE())</f>
        <v>Lat Width, Back Thickness, Rear Delts/Posture, Biceps, Forearms</v>
      </c>
    </row>
    <row r="111" ht="14.5" customHeight="1" spans="1:5" x14ac:dyDescent="0.25">
      <c r="A111" s="2">
        <v>46295</v>
      </c>
      <c r="B111" t="str">
        <f t="shared" si="6"/>
        <v>Wednesday</v>
      </c>
      <c r="C111" t="str">
        <f t="shared" si="7"/>
        <v>Legs</v>
      </c>
      <c r="D111" t="str">
        <f>VLOOKUP(C111,'Plan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11" t="str">
        <f>VLOOKUP(C111,'Plan (PPL Template)'!A4:C7,3,FALSE())</f>
        <v>Quads, Hamstrings, Calves, Shoulders (medial+posterior delt), Core</v>
      </c>
    </row>
    <row r="112" ht="14.5" customHeight="1" spans="1:5" x14ac:dyDescent="0.25">
      <c r="A112" s="2">
        <v>46296</v>
      </c>
      <c r="B112" t="str">
        <f t="shared" si="6"/>
        <v>Thursday</v>
      </c>
      <c r="C112" t="str">
        <f t="shared" si="7"/>
        <v>Push</v>
      </c>
      <c r="D112" t="str">
        <f>VLOOKUP(C112,'Plan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12" t="str">
        <f>VLOOKUP(C112,'Plan (PPL Template)'!A4:C7,3,FALSE())</f>
        <v>Upper Chest (priority), Triceps - long head + lateral head</v>
      </c>
    </row>
    <row r="113" ht="14.5" customHeight="1" spans="1:5" x14ac:dyDescent="0.25">
      <c r="A113" s="2">
        <v>46297</v>
      </c>
      <c r="B113" t="str">
        <f t="shared" si="6"/>
        <v>Friday</v>
      </c>
      <c r="C113" t="str">
        <f t="shared" si="7"/>
        <v>Pull</v>
      </c>
      <c r="D113" t="str">
        <f>VLOOKUP(C113,'Plan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13" t="str">
        <f>VLOOKUP(C113,'Plan (PPL Template)'!A4:C7,3,FALSE())</f>
        <v>Lat Width, Back Thickness, Rear Delts/Posture, Biceps, Forearms</v>
      </c>
    </row>
    <row r="114" ht="14.5" customHeight="1" spans="1:5" x14ac:dyDescent="0.25">
      <c r="A114" s="2">
        <v>46298</v>
      </c>
      <c r="B114" t="str">
        <f t="shared" si="6"/>
        <v>Saturday</v>
      </c>
      <c r="C114" t="str">
        <f t="shared" si="7"/>
        <v>Legs</v>
      </c>
      <c r="D114" t="str">
        <f>VLOOKUP(C114,'Plan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14" t="str">
        <f>VLOOKUP(C114,'Plan (PPL Template)'!A4:C7,3,FALSE())</f>
        <v>Quads, Hamstrings, Calves, Shoulders (medial+posterior delt), Core</v>
      </c>
    </row>
    <row r="115" ht="14.5" customHeight="1" spans="1:5" x14ac:dyDescent="0.25">
      <c r="A115" s="2">
        <v>46299</v>
      </c>
      <c r="B115" t="str">
        <f t="shared" si="6"/>
        <v>Sunday</v>
      </c>
      <c r="C115" t="str">
        <f t="shared" si="7"/>
        <v>Rest</v>
      </c>
      <c r="D115" t="str">
        <f>VLOOKUP(C115,'Plan (PPL Template)'!A4:C7,2,FALSE())</f>
        <v>Rest Day - Recovery, mobility, sleep, magnesium at night</v>
      </c>
      <c r="E115" t="str">
        <f>VLOOKUP(C115,'Plan (PPL Template)'!A4:C7,3,FALSE())</f>
        <v>Recovery</v>
      </c>
    </row>
    <row r="116" ht="14.5" customHeight="1" spans="1:5" x14ac:dyDescent="0.25">
      <c r="A116" s="2">
        <v>46300</v>
      </c>
      <c r="B116" t="str">
        <f t="shared" si="6"/>
        <v>Monday</v>
      </c>
      <c r="C116" t="str">
        <f t="shared" si="7"/>
        <v>Push</v>
      </c>
      <c r="D116" t="str">
        <f>VLOOKUP(C116,'Plan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16" t="str">
        <f>VLOOKUP(C116,'Plan (PPL Template)'!A4:C7,3,FALSE())</f>
        <v>Upper Chest (priority), Triceps - long head + lateral head</v>
      </c>
    </row>
    <row r="117" ht="14.5" customHeight="1" spans="1:5" x14ac:dyDescent="0.25">
      <c r="A117" s="2">
        <v>46301</v>
      </c>
      <c r="B117" t="str">
        <f t="shared" si="6"/>
        <v>Tuesday</v>
      </c>
      <c r="C117" t="str">
        <f t="shared" si="7"/>
        <v>Pull</v>
      </c>
      <c r="D117" t="str">
        <f>VLOOKUP(C117,'Plan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17" t="str">
        <f>VLOOKUP(C117,'Plan (PPL Template)'!A4:C7,3,FALSE())</f>
        <v>Lat Width, Back Thickness, Rear Delts/Posture, Biceps, Forearms</v>
      </c>
    </row>
    <row r="118" ht="14.5" customHeight="1" spans="1:5" x14ac:dyDescent="0.25">
      <c r="A118" s="2">
        <v>46302</v>
      </c>
      <c r="B118" t="str">
        <f t="shared" si="6"/>
        <v>Wednesday</v>
      </c>
      <c r="C118" t="str">
        <f t="shared" si="7"/>
        <v>Legs</v>
      </c>
      <c r="D118" t="str">
        <f>VLOOKUP(C118,'Plan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18" t="str">
        <f>VLOOKUP(C118,'Plan (PPL Template)'!A4:C7,3,FALSE())</f>
        <v>Quads, Hamstrings, Calves, Shoulders (medial+posterior delt), Core</v>
      </c>
    </row>
    <row r="119" ht="14.5" customHeight="1" spans="1:5" x14ac:dyDescent="0.25">
      <c r="A119" s="2">
        <v>46303</v>
      </c>
      <c r="B119" t="str">
        <f t="shared" si="6"/>
        <v>Thursday</v>
      </c>
      <c r="C119" t="str">
        <f t="shared" si="7"/>
        <v>Push</v>
      </c>
      <c r="D119" t="str">
        <f>VLOOKUP(C119,'Plan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19" t="str">
        <f>VLOOKUP(C119,'Plan (PPL Template)'!A4:C7,3,FALSE())</f>
        <v>Upper Chest (priority), Triceps - long head + lateral head</v>
      </c>
    </row>
    <row r="120" ht="14.5" customHeight="1" spans="1:5" x14ac:dyDescent="0.25">
      <c r="A120" s="2">
        <v>46304</v>
      </c>
      <c r="B120" t="str">
        <f t="shared" si="6"/>
        <v>Friday</v>
      </c>
      <c r="C120" t="str">
        <f t="shared" si="7"/>
        <v>Pull</v>
      </c>
      <c r="D120" t="str">
        <f>VLOOKUP(C120,'Plan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20" t="str">
        <f>VLOOKUP(C120,'Plan (PPL Template)'!A4:C7,3,FALSE())</f>
        <v>Lat Width, Back Thickness, Rear Delts/Posture, Biceps, Forearms</v>
      </c>
    </row>
    <row r="121" ht="14.5" customHeight="1" spans="1:5" x14ac:dyDescent="0.25">
      <c r="A121" s="2">
        <v>46305</v>
      </c>
      <c r="B121" t="str">
        <f t="shared" si="6"/>
        <v>Saturday</v>
      </c>
      <c r="C121" t="str">
        <f t="shared" si="7"/>
        <v>Legs</v>
      </c>
      <c r="D121" t="str">
        <f>VLOOKUP(C121,'Plan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21" t="str">
        <f>VLOOKUP(C121,'Plan (PPL Template)'!A4:C7,3,FALSE())</f>
        <v>Quads, Hamstrings, Calves, Shoulders (medial+posterior delt), Core</v>
      </c>
    </row>
    <row r="122" ht="14.5" customHeight="1" spans="1:5" x14ac:dyDescent="0.25">
      <c r="A122" s="2">
        <v>46306</v>
      </c>
      <c r="B122" t="str">
        <f t="shared" si="6"/>
        <v>Sunday</v>
      </c>
      <c r="C122" t="str">
        <f t="shared" si="7"/>
        <v>Rest</v>
      </c>
      <c r="D122" t="str">
        <f>VLOOKUP(C122,'Plan (PPL Template)'!A4:C7,2,FALSE())</f>
        <v>Rest Day - Recovery, mobility, sleep, magnesium at night</v>
      </c>
      <c r="E122" t="str">
        <f>VLOOKUP(C122,'Plan (PPL Template)'!A4:C7,3,FALSE())</f>
        <v>Recovery</v>
      </c>
    </row>
    <row r="123" ht="14.5" customHeight="1" spans="1:5" x14ac:dyDescent="0.25">
      <c r="A123" s="2">
        <v>46307</v>
      </c>
      <c r="B123" t="str">
        <f t="shared" si="6"/>
        <v>Monday</v>
      </c>
      <c r="C123" t="str">
        <f t="shared" si="7"/>
        <v>Push</v>
      </c>
      <c r="D123" t="str">
        <f>VLOOKUP(C123,'Plan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23" t="str">
        <f>VLOOKUP(C123,'Plan (PPL Template)'!A4:C7,3,FALSE())</f>
        <v>Upper Chest (priority), Triceps - long head + lateral head</v>
      </c>
    </row>
    <row r="124" ht="14.5" customHeight="1" spans="1:5" x14ac:dyDescent="0.25">
      <c r="A124" s="2">
        <v>46308</v>
      </c>
      <c r="B124" t="str">
        <f t="shared" si="6"/>
        <v>Tuesday</v>
      </c>
      <c r="C124" t="str">
        <f t="shared" si="7"/>
        <v>Pull</v>
      </c>
      <c r="D124" t="str">
        <f>VLOOKUP(C124,'Plan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24" t="str">
        <f>VLOOKUP(C124,'Plan (PPL Template)'!A4:C7,3,FALSE())</f>
        <v>Lat Width, Back Thickness, Rear Delts/Posture, Biceps, Forearms</v>
      </c>
    </row>
    <row r="125" ht="14.5" customHeight="1" spans="1:5" x14ac:dyDescent="0.25">
      <c r="A125" s="2">
        <v>46309</v>
      </c>
      <c r="B125" t="str">
        <f t="shared" si="6"/>
        <v>Wednesday</v>
      </c>
      <c r="C125" t="str">
        <f t="shared" si="7"/>
        <v>Legs</v>
      </c>
      <c r="D125" t="str">
        <f>VLOOKUP(C125,'Plan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25" t="str">
        <f>VLOOKUP(C125,'Plan (PPL Template)'!A4:C7,3,FALSE())</f>
        <v>Quads, Hamstrings, Calves, Shoulders (medial+posterior delt), Core</v>
      </c>
    </row>
    <row r="126" ht="14.5" customHeight="1" spans="1:5" x14ac:dyDescent="0.25">
      <c r="A126" s="2">
        <v>46310</v>
      </c>
      <c r="B126" t="str">
        <f t="shared" si="6"/>
        <v>Thursday</v>
      </c>
      <c r="C126" t="str">
        <f t="shared" si="7"/>
        <v>Push</v>
      </c>
      <c r="D126" t="str">
        <f>VLOOKUP(C126,'Plan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26" t="str">
        <f>VLOOKUP(C126,'Plan (PPL Template)'!A4:C7,3,FALSE())</f>
        <v>Upper Chest (priority), Triceps - long head + lateral head</v>
      </c>
    </row>
    <row r="127" ht="14.5" customHeight="1" spans="1:5" x14ac:dyDescent="0.25">
      <c r="A127" s="2">
        <v>46311</v>
      </c>
      <c r="B127" t="str">
        <f t="shared" si="6"/>
        <v>Friday</v>
      </c>
      <c r="C127" t="str">
        <f t="shared" si="7"/>
        <v>Pull</v>
      </c>
      <c r="D127" t="str">
        <f>VLOOKUP(C127,'Plan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27" t="str">
        <f>VLOOKUP(C127,'Plan (PPL Template)'!A4:C7,3,FALSE())</f>
        <v>Lat Width, Back Thickness, Rear Delts/Posture, Biceps, Forearms</v>
      </c>
    </row>
    <row r="128" ht="14.5" customHeight="1" spans="1:5" x14ac:dyDescent="0.25">
      <c r="A128" s="2">
        <v>46312</v>
      </c>
      <c r="B128" t="str">
        <f t="shared" si="6"/>
        <v>Saturday</v>
      </c>
      <c r="C128" t="str">
        <f t="shared" si="7"/>
        <v>Legs</v>
      </c>
      <c r="D128" t="str">
        <f>VLOOKUP(C128,'Plan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28" t="str">
        <f>VLOOKUP(C128,'Plan (PPL Template)'!A4:C7,3,FALSE())</f>
        <v>Quads, Hamstrings, Calves, Shoulders (medial+posterior delt), Core</v>
      </c>
    </row>
    <row r="129" ht="14.5" customHeight="1" spans="1:5" x14ac:dyDescent="0.25">
      <c r="A129" s="2">
        <v>46313</v>
      </c>
      <c r="B129" t="str">
        <f t="shared" si="6"/>
        <v>Sunday</v>
      </c>
      <c r="C129" t="str">
        <f t="shared" si="7"/>
        <v>Rest</v>
      </c>
      <c r="D129" t="str">
        <f>VLOOKUP(C129,'Plan (PPL Template)'!A4:C7,2,FALSE())</f>
        <v>Rest Day - Recovery, mobility, sleep, magnesium at night</v>
      </c>
      <c r="E129" t="str">
        <f>VLOOKUP(C129,'Plan (PPL Template)'!A4:C7,3,FALSE())</f>
        <v>Recovery</v>
      </c>
    </row>
    <row r="130" ht="14.5" customHeight="1" spans="1:5" x14ac:dyDescent="0.25">
      <c r="A130" s="2">
        <v>46314</v>
      </c>
      <c r="B130" t="str">
        <f t="shared" si="6"/>
        <v>Monday</v>
      </c>
      <c r="C130" t="str">
        <f t="shared" si="7"/>
        <v>Push</v>
      </c>
      <c r="D130" t="str">
        <f>VLOOKUP(C130,'Plan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30" t="str">
        <f>VLOOKUP(C130,'Plan (PPL Template)'!A4:C7,3,FALSE())</f>
        <v>Upper Chest (priority), Triceps - long head + lateral head</v>
      </c>
    </row>
    <row r="131" ht="14.5" customHeight="1" spans="1:5" x14ac:dyDescent="0.25">
      <c r="A131" s="2">
        <v>46315</v>
      </c>
      <c r="B131" t="str">
        <f t="shared" si="6"/>
        <v>Tuesday</v>
      </c>
      <c r="C131" t="str">
        <f t="shared" si="7"/>
        <v>Pull</v>
      </c>
      <c r="D131" t="str">
        <f>VLOOKUP(C131,'Plan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31" t="str">
        <f>VLOOKUP(C131,'Plan (PPL Template)'!A4:C7,3,FALSE())</f>
        <v>Lat Width, Back Thickness, Rear Delts/Posture, Biceps, Forearms</v>
      </c>
    </row>
    <row r="132" ht="14.5" customHeight="1" spans="1:5" x14ac:dyDescent="0.25">
      <c r="A132" s="2">
        <v>46316</v>
      </c>
      <c r="B132" t="str">
        <f t="shared" ref="B132:B163" si="8">TEXT(A132,"DDDD")</f>
        <v>Wednesday</v>
      </c>
      <c r="C132" t="str">
        <f t="shared" ref="C132:C163" si="9">CHOOSE(WEEKDAY(A132,2),"Push","Pull","Legs","Push","Pull","Legs","Rest")</f>
        <v>Legs</v>
      </c>
      <c r="D132" t="str">
        <f>VLOOKUP(C132,'Plan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32" t="str">
        <f>VLOOKUP(C132,'Plan (PPL Template)'!A4:C7,3,FALSE())</f>
        <v>Quads, Hamstrings, Calves, Shoulders (medial+posterior delt), Core</v>
      </c>
    </row>
    <row r="133" ht="14.5" customHeight="1" spans="1:5" x14ac:dyDescent="0.25">
      <c r="A133" s="2">
        <v>46317</v>
      </c>
      <c r="B133" t="str">
        <f t="shared" si="8"/>
        <v>Thursday</v>
      </c>
      <c r="C133" t="str">
        <f t="shared" si="9"/>
        <v>Push</v>
      </c>
      <c r="D133" t="str">
        <f>VLOOKUP(C133,'Plan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33" t="str">
        <f>VLOOKUP(C133,'Plan (PPL Template)'!A4:C7,3,FALSE())</f>
        <v>Upper Chest (priority), Triceps - long head + lateral head</v>
      </c>
    </row>
    <row r="134" ht="14.5" customHeight="1" spans="1:5" x14ac:dyDescent="0.25">
      <c r="A134" s="2">
        <v>46318</v>
      </c>
      <c r="B134" t="str">
        <f t="shared" si="8"/>
        <v>Friday</v>
      </c>
      <c r="C134" t="str">
        <f t="shared" si="9"/>
        <v>Pull</v>
      </c>
      <c r="D134" t="str">
        <f>VLOOKUP(C134,'Plan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34" t="str">
        <f>VLOOKUP(C134,'Plan (PPL Template)'!A4:C7,3,FALSE())</f>
        <v>Lat Width, Back Thickness, Rear Delts/Posture, Biceps, Forearms</v>
      </c>
    </row>
    <row r="135" ht="14.5" customHeight="1" spans="1:5" x14ac:dyDescent="0.25">
      <c r="A135" s="2">
        <v>46319</v>
      </c>
      <c r="B135" t="str">
        <f t="shared" si="8"/>
        <v>Saturday</v>
      </c>
      <c r="C135" t="str">
        <f t="shared" si="9"/>
        <v>Legs</v>
      </c>
      <c r="D135" t="str">
        <f>VLOOKUP(C135,'Plan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35" t="str">
        <f>VLOOKUP(C135,'Plan (PPL Template)'!A4:C7,3,FALSE())</f>
        <v>Quads, Hamstrings, Calves, Shoulders (medial+posterior delt), Core</v>
      </c>
    </row>
    <row r="136" ht="14.5" customHeight="1" spans="1:5" x14ac:dyDescent="0.25">
      <c r="A136" s="2">
        <v>46320</v>
      </c>
      <c r="B136" t="str">
        <f t="shared" si="8"/>
        <v>Sunday</v>
      </c>
      <c r="C136" t="str">
        <f t="shared" si="9"/>
        <v>Rest</v>
      </c>
      <c r="D136" t="str">
        <f>VLOOKUP(C136,'Plan (PPL Template)'!A4:C7,2,FALSE())</f>
        <v>Rest Day - Recovery, mobility, sleep, magnesium at night</v>
      </c>
      <c r="E136" t="str">
        <f>VLOOKUP(C136,'Plan (PPL Template)'!A4:C7,3,FALSE())</f>
        <v>Recovery</v>
      </c>
    </row>
    <row r="137" ht="14.5" customHeight="1" spans="1:5" x14ac:dyDescent="0.25">
      <c r="A137" s="2">
        <v>46321</v>
      </c>
      <c r="B137" t="str">
        <f t="shared" si="8"/>
        <v>Monday</v>
      </c>
      <c r="C137" t="str">
        <f t="shared" si="9"/>
        <v>Push</v>
      </c>
      <c r="D137" t="str">
        <f>VLOOKUP(C137,'Plan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37" t="str">
        <f>VLOOKUP(C137,'Plan (PPL Template)'!A4:C7,3,FALSE())</f>
        <v>Upper Chest (priority), Triceps - long head + lateral head</v>
      </c>
    </row>
    <row r="138" ht="14.5" customHeight="1" spans="1:5" x14ac:dyDescent="0.25">
      <c r="A138" s="2">
        <v>46322</v>
      </c>
      <c r="B138" t="str">
        <f t="shared" si="8"/>
        <v>Tuesday</v>
      </c>
      <c r="C138" t="str">
        <f t="shared" si="9"/>
        <v>Pull</v>
      </c>
      <c r="D138" t="str">
        <f>VLOOKUP(C138,'Plan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38" t="str">
        <f>VLOOKUP(C138,'Plan (PPL Template)'!A4:C7,3,FALSE())</f>
        <v>Lat Width, Back Thickness, Rear Delts/Posture, Biceps, Forearms</v>
      </c>
    </row>
    <row r="139" ht="14.5" customHeight="1" spans="1:5" x14ac:dyDescent="0.25">
      <c r="A139" s="2">
        <v>46323</v>
      </c>
      <c r="B139" t="str">
        <f t="shared" si="8"/>
        <v>Wednesday</v>
      </c>
      <c r="C139" t="str">
        <f t="shared" si="9"/>
        <v>Legs</v>
      </c>
      <c r="D139" t="str">
        <f>VLOOKUP(C139,'Plan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39" t="str">
        <f>VLOOKUP(C139,'Plan (PPL Template)'!A4:C7,3,FALSE())</f>
        <v>Quads, Hamstrings, Calves, Shoulders (medial+posterior delt), Core</v>
      </c>
    </row>
    <row r="140" ht="14.5" customHeight="1" spans="1:5" x14ac:dyDescent="0.25">
      <c r="A140" s="2">
        <v>46324</v>
      </c>
      <c r="B140" t="str">
        <f t="shared" si="8"/>
        <v>Thursday</v>
      </c>
      <c r="C140" t="str">
        <f t="shared" si="9"/>
        <v>Push</v>
      </c>
      <c r="D140" t="str">
        <f>VLOOKUP(C140,'Plan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40" t="str">
        <f>VLOOKUP(C140,'Plan (PPL Template)'!A4:C7,3,FALSE())</f>
        <v>Upper Chest (priority), Triceps - long head + lateral head</v>
      </c>
    </row>
    <row r="141" ht="14.5" customHeight="1" spans="1:5" x14ac:dyDescent="0.25">
      <c r="A141" s="2">
        <v>46325</v>
      </c>
      <c r="B141" t="str">
        <f t="shared" si="8"/>
        <v>Friday</v>
      </c>
      <c r="C141" t="str">
        <f t="shared" si="9"/>
        <v>Pull</v>
      </c>
      <c r="D141" t="str">
        <f>VLOOKUP(C141,'Plan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41" t="str">
        <f>VLOOKUP(C141,'Plan (PPL Template)'!A4:C7,3,FALSE())</f>
        <v>Lat Width, Back Thickness, Rear Delts/Posture, Biceps, Forearms</v>
      </c>
    </row>
    <row r="142" ht="14.5" customHeight="1" spans="1:5" x14ac:dyDescent="0.25">
      <c r="A142" s="2">
        <v>46326</v>
      </c>
      <c r="B142" t="str">
        <f t="shared" si="8"/>
        <v>Saturday</v>
      </c>
      <c r="C142" t="str">
        <f t="shared" si="9"/>
        <v>Legs</v>
      </c>
      <c r="D142" t="str">
        <f>VLOOKUP(C142,'Plan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42" t="str">
        <f>VLOOKUP(C142,'Plan (PPL Template)'!A4:C7,3,FALSE())</f>
        <v>Quads, Hamstrings, Calves, Shoulders (medial+posterior delt), Core</v>
      </c>
    </row>
    <row r="143" ht="14.5" customHeight="1" spans="1:5" x14ac:dyDescent="0.25">
      <c r="A143" s="2">
        <v>46327</v>
      </c>
      <c r="B143" t="str">
        <f t="shared" si="8"/>
        <v>Sunday</v>
      </c>
      <c r="C143" t="str">
        <f t="shared" si="9"/>
        <v>Rest</v>
      </c>
      <c r="D143" t="str">
        <f>VLOOKUP(C143,'Plan (PPL Template)'!A4:C7,2,FALSE())</f>
        <v>Rest Day - Recovery, mobility, sleep, magnesium at night</v>
      </c>
      <c r="E143" t="str">
        <f>VLOOKUP(C143,'Plan (PPL Template)'!A4:C7,3,FALSE())</f>
        <v>Recovery</v>
      </c>
    </row>
    <row r="144" ht="14.5" customHeight="1" spans="1:5" x14ac:dyDescent="0.25">
      <c r="A144" s="2">
        <v>46328</v>
      </c>
      <c r="B144" t="str">
        <f t="shared" si="8"/>
        <v>Monday</v>
      </c>
      <c r="C144" t="str">
        <f t="shared" si="9"/>
        <v>Push</v>
      </c>
      <c r="D144" t="str">
        <f>VLOOKUP(C144,'Plan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44" t="str">
        <f>VLOOKUP(C144,'Plan (PPL Template)'!A4:C7,3,FALSE())</f>
        <v>Upper Chest (priority), Triceps - long head + lateral head</v>
      </c>
    </row>
    <row r="145" ht="14.5" customHeight="1" spans="1:5" x14ac:dyDescent="0.25">
      <c r="A145" s="2">
        <v>46329</v>
      </c>
      <c r="B145" t="str">
        <f t="shared" si="8"/>
        <v>Tuesday</v>
      </c>
      <c r="C145" t="str">
        <f t="shared" si="9"/>
        <v>Pull</v>
      </c>
      <c r="D145" t="str">
        <f>VLOOKUP(C145,'Plan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45" t="str">
        <f>VLOOKUP(C145,'Plan (PPL Template)'!A4:C7,3,FALSE())</f>
        <v>Lat Width, Back Thickness, Rear Delts/Posture, Biceps, Forearms</v>
      </c>
    </row>
    <row r="146" ht="14.5" customHeight="1" spans="1:5" x14ac:dyDescent="0.25">
      <c r="A146" s="2">
        <v>46330</v>
      </c>
      <c r="B146" t="str">
        <f t="shared" si="8"/>
        <v>Wednesday</v>
      </c>
      <c r="C146" t="str">
        <f t="shared" si="9"/>
        <v>Legs</v>
      </c>
      <c r="D146" t="str">
        <f>VLOOKUP(C146,'Plan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46" t="str">
        <f>VLOOKUP(C146,'Plan (PPL Template)'!A4:C7,3,FALSE())</f>
        <v>Quads, Hamstrings, Calves, Shoulders (medial+posterior delt), Core</v>
      </c>
    </row>
    <row r="147" ht="14.5" customHeight="1" spans="1:5" x14ac:dyDescent="0.25">
      <c r="A147" s="2">
        <v>46331</v>
      </c>
      <c r="B147" t="str">
        <f t="shared" si="8"/>
        <v>Thursday</v>
      </c>
      <c r="C147" t="str">
        <f t="shared" si="9"/>
        <v>Push</v>
      </c>
      <c r="D147" t="str">
        <f>VLOOKUP(C147,'Plan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47" t="str">
        <f>VLOOKUP(C147,'Plan (PPL Template)'!A4:C7,3,FALSE())</f>
        <v>Upper Chest (priority), Triceps - long head + lateral head</v>
      </c>
    </row>
    <row r="148" ht="14.5" customHeight="1" spans="1:5" x14ac:dyDescent="0.25">
      <c r="A148" s="2">
        <v>46332</v>
      </c>
      <c r="B148" t="str">
        <f t="shared" si="8"/>
        <v>Friday</v>
      </c>
      <c r="C148" t="str">
        <f t="shared" si="9"/>
        <v>Pull</v>
      </c>
      <c r="D148" t="str">
        <f>VLOOKUP(C148,'Plan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48" t="str">
        <f>VLOOKUP(C148,'Plan (PPL Template)'!A4:C7,3,FALSE())</f>
        <v>Lat Width, Back Thickness, Rear Delts/Posture, Biceps, Forearms</v>
      </c>
    </row>
    <row r="149" ht="14.5" customHeight="1" spans="1:5" x14ac:dyDescent="0.25">
      <c r="A149" s="2">
        <v>46333</v>
      </c>
      <c r="B149" t="str">
        <f t="shared" si="8"/>
        <v>Saturday</v>
      </c>
      <c r="C149" t="str">
        <f t="shared" si="9"/>
        <v>Legs</v>
      </c>
      <c r="D149" t="str">
        <f>VLOOKUP(C149,'Plan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49" t="str">
        <f>VLOOKUP(C149,'Plan (PPL Template)'!A4:C7,3,FALSE())</f>
        <v>Quads, Hamstrings, Calves, Shoulders (medial+posterior delt), Core</v>
      </c>
    </row>
    <row r="150" ht="14.5" customHeight="1" spans="1:5" x14ac:dyDescent="0.25">
      <c r="A150" s="2">
        <v>46334</v>
      </c>
      <c r="B150" t="str">
        <f t="shared" si="8"/>
        <v>Sunday</v>
      </c>
      <c r="C150" t="str">
        <f t="shared" si="9"/>
        <v>Rest</v>
      </c>
      <c r="D150" t="str">
        <f>VLOOKUP(C150,'Plan (PPL Template)'!A4:C7,2,FALSE())</f>
        <v>Rest Day - Recovery, mobility, sleep, magnesium at night</v>
      </c>
      <c r="E150" t="str">
        <f>VLOOKUP(C150,'Plan (PPL Template)'!A4:C7,3,FALSE())</f>
        <v>Recovery</v>
      </c>
    </row>
    <row r="151" ht="14.5" customHeight="1" spans="1:5" x14ac:dyDescent="0.25">
      <c r="A151" s="2">
        <v>46335</v>
      </c>
      <c r="B151" t="str">
        <f t="shared" si="8"/>
        <v>Monday</v>
      </c>
      <c r="C151" t="str">
        <f t="shared" si="9"/>
        <v>Push</v>
      </c>
      <c r="D151" t="str">
        <f>VLOOKUP(C151,'Plan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51" t="str">
        <f>VLOOKUP(C151,'Plan (PPL Template)'!A4:C7,3,FALSE())</f>
        <v>Upper Chest (priority), Triceps - long head + lateral head</v>
      </c>
    </row>
    <row r="152" ht="14.5" customHeight="1" spans="1:5" x14ac:dyDescent="0.25">
      <c r="A152" s="2">
        <v>46336</v>
      </c>
      <c r="B152" t="str">
        <f t="shared" si="8"/>
        <v>Tuesday</v>
      </c>
      <c r="C152" t="str">
        <f t="shared" si="9"/>
        <v>Pull</v>
      </c>
      <c r="D152" t="str">
        <f>VLOOKUP(C152,'Plan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52" t="str">
        <f>VLOOKUP(C152,'Plan (PPL Template)'!A4:C7,3,FALSE())</f>
        <v>Lat Width, Back Thickness, Rear Delts/Posture, Biceps, Forearms</v>
      </c>
    </row>
    <row r="153" ht="14.5" customHeight="1" spans="1:5" x14ac:dyDescent="0.25">
      <c r="A153" s="2">
        <v>46337</v>
      </c>
      <c r="B153" t="str">
        <f t="shared" si="8"/>
        <v>Wednesday</v>
      </c>
      <c r="C153" t="str">
        <f t="shared" si="9"/>
        <v>Legs</v>
      </c>
      <c r="D153" t="str">
        <f>VLOOKUP(C153,'Plan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53" t="str">
        <f>VLOOKUP(C153,'Plan (PPL Template)'!A4:C7,3,FALSE())</f>
        <v>Quads, Hamstrings, Calves, Shoulders (medial+posterior delt), Core</v>
      </c>
    </row>
    <row r="154" ht="14.5" customHeight="1" spans="1:5" x14ac:dyDescent="0.25">
      <c r="A154" s="2">
        <v>46338</v>
      </c>
      <c r="B154" t="str">
        <f t="shared" si="8"/>
        <v>Thursday</v>
      </c>
      <c r="C154" t="str">
        <f t="shared" si="9"/>
        <v>Push</v>
      </c>
      <c r="D154" t="str">
        <f>VLOOKUP(C154,'Plan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54" t="str">
        <f>VLOOKUP(C154,'Plan (PPL Template)'!A4:C7,3,FALSE())</f>
        <v>Upper Chest (priority), Triceps - long head + lateral head</v>
      </c>
    </row>
    <row r="155" ht="14.5" customHeight="1" spans="1:5" x14ac:dyDescent="0.25">
      <c r="A155" s="2">
        <v>46339</v>
      </c>
      <c r="B155" t="str">
        <f t="shared" si="8"/>
        <v>Friday</v>
      </c>
      <c r="C155" t="str">
        <f t="shared" si="9"/>
        <v>Pull</v>
      </c>
      <c r="D155" t="str">
        <f>VLOOKUP(C155,'Plan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55" t="str">
        <f>VLOOKUP(C155,'Plan (PPL Template)'!A4:C7,3,FALSE())</f>
        <v>Lat Width, Back Thickness, Rear Delts/Posture, Biceps, Forearms</v>
      </c>
    </row>
    <row r="156" ht="14.5" customHeight="1" spans="1:5" x14ac:dyDescent="0.25">
      <c r="A156" s="2">
        <v>46340</v>
      </c>
      <c r="B156" t="str">
        <f t="shared" si="8"/>
        <v>Saturday</v>
      </c>
      <c r="C156" t="str">
        <f t="shared" si="9"/>
        <v>Legs</v>
      </c>
      <c r="D156" t="str">
        <f>VLOOKUP(C156,'Plan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56" t="str">
        <f>VLOOKUP(C156,'Plan (PPL Template)'!A4:C7,3,FALSE())</f>
        <v>Quads, Hamstrings, Calves, Shoulders (medial+posterior delt), Core</v>
      </c>
    </row>
    <row r="157" ht="14.5" customHeight="1" spans="1:5" x14ac:dyDescent="0.25">
      <c r="A157" s="2">
        <v>46341</v>
      </c>
      <c r="B157" t="str">
        <f t="shared" si="8"/>
        <v>Sunday</v>
      </c>
      <c r="C157" t="str">
        <f t="shared" si="9"/>
        <v>Rest</v>
      </c>
      <c r="D157" t="str">
        <f>VLOOKUP(C157,'Plan (PPL Template)'!A4:C7,2,FALSE())</f>
        <v>Rest Day - Recovery, mobility, sleep, magnesium at night</v>
      </c>
      <c r="E157" t="str">
        <f>VLOOKUP(C157,'Plan (PPL Template)'!A4:C7,3,FALSE())</f>
        <v>Recovery</v>
      </c>
    </row>
    <row r="158" ht="14.5" customHeight="1" spans="1:5" x14ac:dyDescent="0.25">
      <c r="A158" s="2">
        <v>46342</v>
      </c>
      <c r="B158" t="str">
        <f t="shared" si="8"/>
        <v>Monday</v>
      </c>
      <c r="C158" t="str">
        <f t="shared" si="9"/>
        <v>Push</v>
      </c>
      <c r="D158" t="str">
        <f>VLOOKUP(C158,'Plan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58" t="str">
        <f>VLOOKUP(C158,'Plan (PPL Template)'!A4:C7,3,FALSE())</f>
        <v>Upper Chest (priority), Triceps - long head + lateral head</v>
      </c>
    </row>
    <row r="159" ht="14.5" customHeight="1" spans="1:5" x14ac:dyDescent="0.25">
      <c r="A159" s="2">
        <v>46343</v>
      </c>
      <c r="B159" t="str">
        <f t="shared" si="8"/>
        <v>Tuesday</v>
      </c>
      <c r="C159" t="str">
        <f t="shared" si="9"/>
        <v>Pull</v>
      </c>
      <c r="D159" t="str">
        <f>VLOOKUP(C159,'Plan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59" t="str">
        <f>VLOOKUP(C159,'Plan (PPL Template)'!A4:C7,3,FALSE())</f>
        <v>Lat Width, Back Thickness, Rear Delts/Posture, Biceps, Forearms</v>
      </c>
    </row>
    <row r="160" ht="14.5" customHeight="1" spans="1:5" x14ac:dyDescent="0.25">
      <c r="A160" s="2">
        <v>46344</v>
      </c>
      <c r="B160" t="str">
        <f t="shared" si="8"/>
        <v>Wednesday</v>
      </c>
      <c r="C160" t="str">
        <f t="shared" si="9"/>
        <v>Legs</v>
      </c>
      <c r="D160" t="str">
        <f>VLOOKUP(C160,'Plan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60" t="str">
        <f>VLOOKUP(C160,'Plan (PPL Template)'!A4:C7,3,FALSE())</f>
        <v>Quads, Hamstrings, Calves, Shoulders (medial+posterior delt), Core</v>
      </c>
    </row>
    <row r="161" ht="14.5" customHeight="1" spans="1:5" x14ac:dyDescent="0.25">
      <c r="A161" s="2">
        <v>46345</v>
      </c>
      <c r="B161" t="str">
        <f t="shared" si="8"/>
        <v>Thursday</v>
      </c>
      <c r="C161" t="str">
        <f t="shared" si="9"/>
        <v>Push</v>
      </c>
      <c r="D161" t="str">
        <f>VLOOKUP(C161,'Plan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61" t="str">
        <f>VLOOKUP(C161,'Plan (PPL Template)'!A4:C7,3,FALSE())</f>
        <v>Upper Chest (priority), Triceps - long head + lateral head</v>
      </c>
    </row>
    <row r="162" ht="14.5" customHeight="1" spans="1:5" x14ac:dyDescent="0.25">
      <c r="A162" s="2">
        <v>46346</v>
      </c>
      <c r="B162" t="str">
        <f t="shared" si="8"/>
        <v>Friday</v>
      </c>
      <c r="C162" t="str">
        <f t="shared" si="9"/>
        <v>Pull</v>
      </c>
      <c r="D162" t="str">
        <f>VLOOKUP(C162,'Plan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62" t="str">
        <f>VLOOKUP(C162,'Plan (PPL Template)'!A4:C7,3,FALSE())</f>
        <v>Lat Width, Back Thickness, Rear Delts/Posture, Biceps, Forearms</v>
      </c>
    </row>
    <row r="163" ht="14.5" customHeight="1" spans="1:5" x14ac:dyDescent="0.25">
      <c r="A163" s="2">
        <v>46347</v>
      </c>
      <c r="B163" t="str">
        <f t="shared" si="8"/>
        <v>Saturday</v>
      </c>
      <c r="C163" t="str">
        <f t="shared" si="9"/>
        <v>Legs</v>
      </c>
      <c r="D163" t="str">
        <f>VLOOKUP(C163,'Plan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63" t="str">
        <f>VLOOKUP(C163,'Plan (PPL Template)'!A4:C7,3,FALSE())</f>
        <v>Quads, Hamstrings, Calves, Shoulders (medial+posterior delt), Core</v>
      </c>
    </row>
    <row r="164" ht="14.5" customHeight="1" spans="1:5" x14ac:dyDescent="0.25">
      <c r="A164" s="2">
        <v>46348</v>
      </c>
      <c r="B164" t="str">
        <f t="shared" ref="B164:B185" si="10">TEXT(A164,"DDDD")</f>
        <v>Sunday</v>
      </c>
      <c r="C164" t="str">
        <f t="shared" ref="C164:C185" si="11">CHOOSE(WEEKDAY(A164,2),"Push","Pull","Legs","Push","Pull","Legs","Rest")</f>
        <v>Rest</v>
      </c>
      <c r="D164" t="str">
        <f>VLOOKUP(C164,'Plan (PPL Template)'!A4:C7,2,FALSE())</f>
        <v>Rest Day - Recovery, mobility, sleep, magnesium at night</v>
      </c>
      <c r="E164" t="str">
        <f>VLOOKUP(C164,'Plan (PPL Template)'!A4:C7,3,FALSE())</f>
        <v>Recovery</v>
      </c>
    </row>
    <row r="165" ht="14.5" customHeight="1" spans="1:5" x14ac:dyDescent="0.25">
      <c r="A165" s="2">
        <v>46349</v>
      </c>
      <c r="B165" t="str">
        <f t="shared" si="10"/>
        <v>Monday</v>
      </c>
      <c r="C165" t="str">
        <f t="shared" si="11"/>
        <v>Push</v>
      </c>
      <c r="D165" t="str">
        <f>VLOOKUP(C165,'Plan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65" t="str">
        <f>VLOOKUP(C165,'Plan (PPL Template)'!A4:C7,3,FALSE())</f>
        <v>Upper Chest (priority), Triceps - long head + lateral head</v>
      </c>
    </row>
    <row r="166" ht="14.5" customHeight="1" spans="1:5" x14ac:dyDescent="0.25">
      <c r="A166" s="2">
        <v>46350</v>
      </c>
      <c r="B166" t="str">
        <f t="shared" si="10"/>
        <v>Tuesday</v>
      </c>
      <c r="C166" t="str">
        <f t="shared" si="11"/>
        <v>Pull</v>
      </c>
      <c r="D166" t="str">
        <f>VLOOKUP(C166,'Plan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66" t="str">
        <f>VLOOKUP(C166,'Plan (PPL Template)'!A4:C7,3,FALSE())</f>
        <v>Lat Width, Back Thickness, Rear Delts/Posture, Biceps, Forearms</v>
      </c>
    </row>
    <row r="167" ht="14.5" customHeight="1" spans="1:5" x14ac:dyDescent="0.25">
      <c r="A167" s="2">
        <v>46351</v>
      </c>
      <c r="B167" t="str">
        <f t="shared" si="10"/>
        <v>Wednesday</v>
      </c>
      <c r="C167" t="str">
        <f t="shared" si="11"/>
        <v>Legs</v>
      </c>
      <c r="D167" t="str">
        <f>VLOOKUP(C167,'Plan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67" t="str">
        <f>VLOOKUP(C167,'Plan (PPL Template)'!A4:C7,3,FALSE())</f>
        <v>Quads, Hamstrings, Calves, Shoulders (medial+posterior delt), Core</v>
      </c>
    </row>
    <row r="168" ht="14.5" customHeight="1" spans="1:5" x14ac:dyDescent="0.25">
      <c r="A168" s="2">
        <v>46352</v>
      </c>
      <c r="B168" t="str">
        <f t="shared" si="10"/>
        <v>Thursday</v>
      </c>
      <c r="C168" t="str">
        <f t="shared" si="11"/>
        <v>Push</v>
      </c>
      <c r="D168" t="str">
        <f>VLOOKUP(C168,'Plan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68" t="str">
        <f>VLOOKUP(C168,'Plan (PPL Template)'!A4:C7,3,FALSE())</f>
        <v>Upper Chest (priority), Triceps - long head + lateral head</v>
      </c>
    </row>
    <row r="169" ht="14.5" customHeight="1" spans="1:5" x14ac:dyDescent="0.25">
      <c r="A169" s="2">
        <v>46353</v>
      </c>
      <c r="B169" t="str">
        <f t="shared" si="10"/>
        <v>Friday</v>
      </c>
      <c r="C169" t="str">
        <f t="shared" si="11"/>
        <v>Pull</v>
      </c>
      <c r="D169" t="str">
        <f>VLOOKUP(C169,'Plan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69" t="str">
        <f>VLOOKUP(C169,'Plan (PPL Template)'!A4:C7,3,FALSE())</f>
        <v>Lat Width, Back Thickness, Rear Delts/Posture, Biceps, Forearms</v>
      </c>
    </row>
    <row r="170" ht="14.5" customHeight="1" spans="1:5" x14ac:dyDescent="0.25">
      <c r="A170" s="2">
        <v>46354</v>
      </c>
      <c r="B170" t="str">
        <f t="shared" si="10"/>
        <v>Saturday</v>
      </c>
      <c r="C170" t="str">
        <f t="shared" si="11"/>
        <v>Legs</v>
      </c>
      <c r="D170" t="str">
        <f>VLOOKUP(C170,'Plan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70" t="str">
        <f>VLOOKUP(C170,'Plan (PPL Template)'!A4:C7,3,FALSE())</f>
        <v>Quads, Hamstrings, Calves, Shoulders (medial+posterior delt), Core</v>
      </c>
    </row>
    <row r="171" ht="14.5" customHeight="1" spans="1:5" x14ac:dyDescent="0.25">
      <c r="A171" s="2">
        <v>46355</v>
      </c>
      <c r="B171" t="str">
        <f t="shared" si="10"/>
        <v>Sunday</v>
      </c>
      <c r="C171" t="str">
        <f t="shared" si="11"/>
        <v>Rest</v>
      </c>
      <c r="D171" t="str">
        <f>VLOOKUP(C171,'Plan (PPL Template)'!A4:C7,2,FALSE())</f>
        <v>Rest Day - Recovery, mobility, sleep, magnesium at night</v>
      </c>
      <c r="E171" t="str">
        <f>VLOOKUP(C171,'Plan (PPL Template)'!A4:C7,3,FALSE())</f>
        <v>Recovery</v>
      </c>
    </row>
    <row r="172" ht="14.5" customHeight="1" spans="1:5" x14ac:dyDescent="0.25">
      <c r="A172" s="2">
        <v>46356</v>
      </c>
      <c r="B172" t="str">
        <f t="shared" si="10"/>
        <v>Monday</v>
      </c>
      <c r="C172" t="str">
        <f t="shared" si="11"/>
        <v>Push</v>
      </c>
      <c r="D172" t="str">
        <f>VLOOKUP(C172,'Plan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72" t="str">
        <f>VLOOKUP(C172,'Plan (PPL Template)'!A4:C7,3,FALSE())</f>
        <v>Upper Chest (priority), Triceps - long head + lateral head</v>
      </c>
    </row>
    <row r="173" ht="14.5" customHeight="1" spans="1:5" x14ac:dyDescent="0.25">
      <c r="A173" s="2">
        <v>46357</v>
      </c>
      <c r="B173" t="str">
        <f t="shared" si="10"/>
        <v>Tuesday</v>
      </c>
      <c r="C173" t="str">
        <f t="shared" si="11"/>
        <v>Pull</v>
      </c>
      <c r="D173" t="str">
        <f>VLOOKUP(C173,'Plan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73" t="str">
        <f>VLOOKUP(C173,'Plan (PPL Template)'!A4:C7,3,FALSE())</f>
        <v>Lat Width, Back Thickness, Rear Delts/Posture, Biceps, Forearms</v>
      </c>
    </row>
    <row r="174" ht="14.5" customHeight="1" spans="1:5" x14ac:dyDescent="0.25">
      <c r="A174" s="2">
        <v>46358</v>
      </c>
      <c r="B174" t="str">
        <f t="shared" si="10"/>
        <v>Wednesday</v>
      </c>
      <c r="C174" t="str">
        <f t="shared" si="11"/>
        <v>Legs</v>
      </c>
      <c r="D174" t="str">
        <f>VLOOKUP(C174,'Plan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74" t="str">
        <f>VLOOKUP(C174,'Plan (PPL Template)'!A4:C7,3,FALSE())</f>
        <v>Quads, Hamstrings, Calves, Shoulders (medial+posterior delt), Core</v>
      </c>
    </row>
    <row r="175" ht="14.5" customHeight="1" spans="1:5" x14ac:dyDescent="0.25">
      <c r="A175" s="2">
        <v>46359</v>
      </c>
      <c r="B175" t="str">
        <f t="shared" si="10"/>
        <v>Thursday</v>
      </c>
      <c r="C175" t="str">
        <f t="shared" si="11"/>
        <v>Push</v>
      </c>
      <c r="D175" t="str">
        <f>VLOOKUP(C175,'Plan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75" t="str">
        <f>VLOOKUP(C175,'Plan (PPL Template)'!A4:C7,3,FALSE())</f>
        <v>Upper Chest (priority), Triceps - long head + lateral head</v>
      </c>
    </row>
    <row r="176" ht="14.5" customHeight="1" spans="1:5" x14ac:dyDescent="0.25">
      <c r="A176" s="2">
        <v>46360</v>
      </c>
      <c r="B176" t="str">
        <f t="shared" si="10"/>
        <v>Friday</v>
      </c>
      <c r="C176" t="str">
        <f t="shared" si="11"/>
        <v>Pull</v>
      </c>
      <c r="D176" t="str">
        <f>VLOOKUP(C176,'Plan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76" t="str">
        <f>VLOOKUP(C176,'Plan (PPL Template)'!A4:C7,3,FALSE())</f>
        <v>Lat Width, Back Thickness, Rear Delts/Posture, Biceps, Forearms</v>
      </c>
    </row>
    <row r="177" ht="14.5" customHeight="1" spans="1:5" x14ac:dyDescent="0.25">
      <c r="A177" s="2">
        <v>46361</v>
      </c>
      <c r="B177" t="str">
        <f t="shared" si="10"/>
        <v>Saturday</v>
      </c>
      <c r="C177" t="str">
        <f t="shared" si="11"/>
        <v>Legs</v>
      </c>
      <c r="D177" t="str">
        <f>VLOOKUP(C177,'Plan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77" t="str">
        <f>VLOOKUP(C177,'Plan (PPL Template)'!A4:C7,3,FALSE())</f>
        <v>Quads, Hamstrings, Calves, Shoulders (medial+posterior delt), Core</v>
      </c>
    </row>
    <row r="178" ht="14.5" customHeight="1" spans="1:5" x14ac:dyDescent="0.25">
      <c r="A178" s="2">
        <v>46362</v>
      </c>
      <c r="B178" t="str">
        <f t="shared" si="10"/>
        <v>Sunday</v>
      </c>
      <c r="C178" t="str">
        <f t="shared" si="11"/>
        <v>Rest</v>
      </c>
      <c r="D178" t="str">
        <f>VLOOKUP(C178,'Plan (PPL Template)'!A4:C7,2,FALSE())</f>
        <v>Rest Day - Recovery, mobility, sleep, magnesium at night</v>
      </c>
      <c r="E178" t="str">
        <f>VLOOKUP(C178,'Plan (PPL Template)'!A4:C7,3,FALSE())</f>
        <v>Recovery</v>
      </c>
    </row>
    <row r="179" ht="14.5" customHeight="1" spans="1:5" x14ac:dyDescent="0.25">
      <c r="A179" s="2">
        <v>46363</v>
      </c>
      <c r="B179" t="str">
        <f t="shared" si="10"/>
        <v>Monday</v>
      </c>
      <c r="C179" t="str">
        <f t="shared" si="11"/>
        <v>Push</v>
      </c>
      <c r="D179" t="str">
        <f>VLOOKUP(C179,'Plan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79" t="str">
        <f>VLOOKUP(C179,'Plan (PPL Template)'!A4:C7,3,FALSE())</f>
        <v>Upper Chest (priority), Triceps - long head + lateral head</v>
      </c>
    </row>
    <row r="180" ht="14.5" customHeight="1" spans="1:5" x14ac:dyDescent="0.25">
      <c r="A180" s="2">
        <v>46364</v>
      </c>
      <c r="B180" t="str">
        <f t="shared" si="10"/>
        <v>Tuesday</v>
      </c>
      <c r="C180" t="str">
        <f t="shared" si="11"/>
        <v>Pull</v>
      </c>
      <c r="D180" t="str">
        <f>VLOOKUP(C180,'Plan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80" t="str">
        <f>VLOOKUP(C180,'Plan (PPL Template)'!A4:C7,3,FALSE())</f>
        <v>Lat Width, Back Thickness, Rear Delts/Posture, Biceps, Forearms</v>
      </c>
    </row>
    <row r="181" ht="14.5" customHeight="1" spans="1:5" x14ac:dyDescent="0.25">
      <c r="A181" s="2">
        <v>46365</v>
      </c>
      <c r="B181" t="str">
        <f t="shared" si="10"/>
        <v>Wednesday</v>
      </c>
      <c r="C181" t="str">
        <f t="shared" si="11"/>
        <v>Legs</v>
      </c>
      <c r="D181" t="str">
        <f>VLOOKUP(C181,'Plan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81" t="str">
        <f>VLOOKUP(C181,'Plan (PPL Template)'!A4:C7,3,FALSE())</f>
        <v>Quads, Hamstrings, Calves, Shoulders (medial+posterior delt), Core</v>
      </c>
    </row>
    <row r="182" ht="14.5" customHeight="1" spans="1:5" x14ac:dyDescent="0.25">
      <c r="A182" s="2">
        <v>46366</v>
      </c>
      <c r="B182" t="str">
        <f t="shared" si="10"/>
        <v>Thursday</v>
      </c>
      <c r="C182" t="str">
        <f t="shared" si="11"/>
        <v>Push</v>
      </c>
      <c r="D182" t="str">
        <f>VLOOKUP(C182,'Plan (PPL Template)'!A4:C7,2,FALSE())</f>
        <v>1. Incline Barbell Press - 4x8-10
2. Incline DB Press - 4x10
3. Low-to-High Cable Crossover - 4x15
4. Close Grip Bench Press - 4x8-10
5. Overhead Cable Tricep Extension - 4x10-12
6. Rope Pushdown - 4x12-15</v>
      </c>
      <c r="E182" t="str">
        <f>VLOOKUP(C182,'Plan (PPL Template)'!A4:C7,3,FALSE())</f>
        <v>Upper Chest (priority), Triceps - long head + lateral head</v>
      </c>
    </row>
    <row r="183" ht="14.5" customHeight="1" spans="1:5" x14ac:dyDescent="0.25">
      <c r="A183" s="2">
        <v>46367</v>
      </c>
      <c r="B183" t="str">
        <f t="shared" si="10"/>
        <v>Friday</v>
      </c>
      <c r="C183" t="str">
        <f t="shared" si="11"/>
        <v>Pull</v>
      </c>
      <c r="D183" t="str">
        <f>VLOOKUP(C183,'Plan (PPL Template)'!A4:C7,2,FALSE())</f>
        <v>1. Pull-Ups (weighted/assisted) - 4xMax
2. Wide Grip Lat Pulldown - 4-5x8-15
3. Seated Cable Row (close grip) - 4x10
4. Face Pulls - 4x20 (NON-NEGOTIABLE)
5. Barbell Curl - 4x8-15
6. Reverse Barbell Curl / Wrist Curl - 3x12-20</v>
      </c>
      <c r="E183" t="str">
        <f>VLOOKUP(C183,'Plan (PPL Template)'!A4:C7,3,FALSE())</f>
        <v>Lat Width, Back Thickness, Rear Delts/Posture, Biceps, Forearms</v>
      </c>
    </row>
    <row r="184" ht="14.5" customHeight="1" spans="1:5" x14ac:dyDescent="0.25">
      <c r="A184" s="2">
        <v>46368</v>
      </c>
      <c r="B184" t="str">
        <f t="shared" si="10"/>
        <v>Saturday</v>
      </c>
      <c r="C184" t="str">
        <f t="shared" si="11"/>
        <v>Legs</v>
      </c>
      <c r="D184" t="str">
        <f>VLOOKUP(C184,'Plan (PPL Template)'!A4:C7,2,FALSE())</f>
        <v>1. Barbell Squat - 4x10
2. Leg Press - 4x12
3. Romanian Deadlift - 4x10
4. Standing Calf Raise - 3x20
5. Seated DB Shoulder Press - 4x10
6. Cable Lateral Raise + Reverse Pec Deck - 4x15-20 (NON-NEGOTIABLE)
7. Hanging Leg Raise + Plank - 3x12 / 45s</v>
      </c>
      <c r="E184" t="str">
        <f>VLOOKUP(C184,'Plan (PPL Template)'!A4:C7,3,FALSE())</f>
        <v>Quads, Hamstrings, Calves, Shoulders (medial+posterior delt), Core</v>
      </c>
    </row>
    <row r="185" ht="14.5" customHeight="1" spans="1:5" x14ac:dyDescent="0.25">
      <c r="A185" s="2">
        <v>46369</v>
      </c>
      <c r="B185" t="str">
        <f t="shared" si="10"/>
        <v>Sunday</v>
      </c>
      <c r="C185" t="str">
        <f t="shared" si="11"/>
        <v>Rest</v>
      </c>
      <c r="D185" t="str">
        <f>VLOOKUP(C185,'Plan (PPL Template)'!A4:C7,2,FALSE())</f>
        <v>Rest Day - Recovery, mobility, sleep, magnesium at night</v>
      </c>
      <c r="E185" t="str">
        <f>VLOOKUP(C185,'Plan (PPL Template)'!A4:C7,3,FALSE())</f>
        <v>Recovery</v>
      </c>
    </row>
  </sheetData>
  <mergeCells count="1">
    <mergeCell ref="A1:G1"/>
  </mergeCells>
  <pageMargins left="0.75" right="0.75" top="1" bottom="1" header="0.511811023622047" footer="0.5118110236220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Plan (PPL Template)</vt:lpstr>
      <vt:lpstr>6-Month 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language>en-US</dc:language>
  <cp:lastModifiedBy>Unknown</cp:lastModifiedBy>
  <dcterms:created xsi:type="dcterms:W3CDTF">2026-06-13T10:12:29Z</dcterms:created>
  <dcterms:modified xsi:type="dcterms:W3CDTF">2026-06-16T19:04:43Z</dcterms:modified>
</cp:coreProperties>
</file>