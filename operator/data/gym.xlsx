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Plan (PPL Template)" sheetId="2" r:id="rId2"/>
    <sheet name="6-Month Calenda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General"/>
    <numFmt numFmtId="165" formatCode="General"/>
    <numFmt numFmtId="166" formatCode="0.0%"/>
    <numFmt numFmtId="167" formatCode="dd\-mmm\-yyyy&quot; (&quot;ddd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s="1" t="str">
        <v>Progress Dashboard</v>
      </c>
    </row>
    <row r="3">
      <c r="A3" s="1" t="str">
        <v>Total Training Days (6 months)</v>
      </c>
      <c r="B3" s="1">
        <f>COUNTIF('6-Month Calendar'!C4:C185,"&lt;&gt;Rest")</f>
        <v>156</v>
      </c>
    </row>
    <row r="4">
      <c r="A4" s="1" t="str">
        <v>Total Rest Days</v>
      </c>
      <c r="B4" s="1">
        <f>COUNTIF('6-Month Calendar'!C4:C185,"Rest")</f>
        <v>26</v>
      </c>
    </row>
    <row r="5">
      <c r="A5" s="1" t="str">
        <v>Sessions Completed (Yes)</v>
      </c>
      <c r="B5" s="1">
        <f>COUNTIF('6-Month Calendar'!F4:F185,"Yes")</f>
        <v>0</v>
      </c>
    </row>
    <row r="6">
      <c r="A6" s="1" t="str">
        <v>Sessions Missed (No)</v>
      </c>
      <c r="B6" s="1">
        <f>COUNTIF('6-Month Calendar'!F4:F185,"No")</f>
        <v>0</v>
      </c>
    </row>
    <row r="7">
      <c r="A7" s="1" t="str">
        <v>Completion Rate</v>
      </c>
      <c r="B7" s="1">
        <f>IFERROR(B5/B3,0)</f>
        <v>0</v>
      </c>
    </row>
    <row r="8">
      <c r="A8" s="1" t="str">
        <v>Push Days Total</v>
      </c>
      <c r="B8" s="1">
        <f>COUNTIF('6-Month Calendar'!C4:C185,"Push")</f>
        <v>52</v>
      </c>
    </row>
    <row r="9">
      <c r="A9" s="1" t="str">
        <v>Pull Days Total</v>
      </c>
      <c r="B9" s="1">
        <f>COUNTIF('6-Month Calendar'!C4:C185,"Pull")</f>
        <v>52</v>
      </c>
    </row>
    <row r="10">
      <c r="A10" s="1" t="str">
        <v>Legs Days Total</v>
      </c>
      <c r="B10" s="1">
        <f>COUNTIF('6-Month Calendar'!C4:C185,"Legs")</f>
        <v>52</v>
      </c>
    </row>
  </sheetData>
  <mergeCells count="1">
    <mergeCell ref="A1:B1"/>
  </mergeCells>
  <pageMargins left="0.75" right="0.75" top="1" bottom="1" header="0.511811023622047" footer="0.511811023622047"/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s="1" t="str">
        <v>6-Day PPL Template (Reference)</v>
      </c>
    </row>
    <row r="3">
      <c r="A3" s="1" t="str">
        <v>Day Type</v>
      </c>
      <c r="B3" s="1" t="str">
        <v>Exercises</v>
      </c>
      <c r="C3" s="1" t="str">
        <v>Muscle Focus</v>
      </c>
    </row>
    <row r="4" xml:space="preserve">
      <c r="A4" s="1" t="str">
        <v>Push</v>
      </c>
      <c r="B4" s="1" t="str" xml:space="preserve">
        <v xml:space="preserve">1. Incline Barbell Press - 4x8-10
2. Incline DB Press - 4x10
3. Low-to-High Cable Crossover - 4x15
4. Close Grip Bench Press - 4x8-10
5. Overhead Cable Tricep Extension - 4x10-12
6. Rope Pushdown - 4x12-15</v>
      </c>
      <c r="C4" s="1" t="str">
        <v>Upper Chest (priority), Triceps - long head + lateral head</v>
      </c>
    </row>
    <row r="5" xml:space="preserve">
      <c r="A5" s="1" t="str">
        <v>Pull</v>
      </c>
      <c r="B5" s="1" t="str" xml:space="preserve"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C5" s="1" t="str">
        <v>Lat Width, Back Thickness, Rear Delts/Posture, Biceps, Forearms</v>
      </c>
    </row>
    <row r="6" xml:space="preserve">
      <c r="A6" s="1" t="str">
        <v>Legs</v>
      </c>
      <c r="B6" s="1" t="str" xml:space="preserve"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C6" s="1" t="str">
        <v>Quads, Hamstrings, Calves, Shoulders (medial+posterior delt), Core</v>
      </c>
    </row>
    <row r="7">
      <c r="A7" s="1" t="str">
        <v>Rest</v>
      </c>
      <c r="B7" s="1" t="str">
        <v>Rest Day - Recovery, mobility, sleep, magnesium at night</v>
      </c>
      <c r="C7" s="1" t="str">
        <v>Recovery</v>
      </c>
    </row>
  </sheetData>
  <mergeCells count="1">
    <mergeCell ref="A1:C1"/>
  </mergeCells>
  <pageMargins left="0.75" right="0.75" top="1" bottom="1" header="0.511811023622047" footer="0.511811023622047"/>
  <ignoredErrors>
    <ignoredError numberStoredAsText="1" sqref="A1:C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5"/>
  <sheetViews>
    <sheetView workbookViewId="0" rightToLeft="0"/>
  </sheetViews>
  <sheetData>
    <row r="1">
      <c r="A1" s="1" t="str">
        <v>Training Calendar - 6 Months (Mon-Sat PPL x2, Sunday Rest)</v>
      </c>
    </row>
    <row r="3">
      <c r="A3" s="1" t="str">
        <v>Date</v>
      </c>
      <c r="B3" s="1" t="str">
        <v>Weekday</v>
      </c>
      <c r="C3" s="1" t="str">
        <v>Day Type</v>
      </c>
      <c r="D3" s="1" t="str">
        <v>Exercises</v>
      </c>
      <c r="E3" s="1" t="str">
        <v>Muscle Focus</v>
      </c>
      <c r="F3" s="1" t="str">
        <v>Completed</v>
      </c>
      <c r="G3" s="1" t="str">
        <v>Notes</v>
      </c>
    </row>
    <row r="4" xml:space="preserve">
      <c r="A4" s="1">
        <v>46188</v>
      </c>
      <c r="B4" s="1" t="str">
        <f>TEXT(A4,"DDDD")</f>
        <v>Monday</v>
      </c>
      <c r="C4" s="1" t="str">
        <f>CHOOSE(WEEKDAY(A4,2),"Push","Pull","Legs","Push","Pull","Legs","Rest")</f>
        <v>Push</v>
      </c>
      <c r="D4" s="1" t="str" xml:space="preserve">
        <f>VLOOKUP(C4,'Plan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4" s="1" t="str">
        <f>VLOOKUP(C4,'Plan (PPL Template)'!A4:C7,3,FALSE())</f>
        <v>Upper Chest (priority), Triceps - long head + lateral head</v>
      </c>
      <c r="F4" s="1" t="str">
        <v>No</v>
      </c>
      <c r="G4" s="1" t="str">
        <v>I have missed monday because I was in my home and also office was closed that day.</v>
      </c>
    </row>
    <row r="5" xml:space="preserve">
      <c r="A5" s="1">
        <v>46189</v>
      </c>
      <c r="B5" s="1" t="str">
        <f>TEXT(A5,"DDDD")</f>
        <v>Tuesday</v>
      </c>
      <c r="C5" s="1" t="str">
        <f>CHOOSE(WEEKDAY(A5,2),"Push","Pull","Legs","Push","Pull","Legs","Rest")</f>
        <v>Pull</v>
      </c>
      <c r="D5" s="1" t="str" xml:space="preserve">
        <f>VLOOKUP(C5,'Plan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5" s="1" t="str">
        <f>VLOOKUP(C5,'Plan (PPL Template)'!A4:C7,3,FALSE())</f>
        <v>Lat Width, Back Thickness, Rear Delts/Posture, Biceps, Forearms</v>
      </c>
      <c r="F5" s="1" t="str">
        <v>Yes</v>
      </c>
      <c r="G5" s="1" t="str">
        <v>Test Note</v>
      </c>
    </row>
    <row r="6" xml:space="preserve">
      <c r="A6" s="1">
        <v>46190</v>
      </c>
      <c r="B6" s="1" t="str">
        <f>TEXT(A6,"DDDD")</f>
        <v>Wednesday</v>
      </c>
      <c r="C6" s="1" t="str">
        <f>CHOOSE(WEEKDAY(A6,2),"Push","Pull","Legs","Push","Pull","Legs","Rest")</f>
        <v>Legs</v>
      </c>
      <c r="D6" s="1" t="str" xml:space="preserve">
        <f>VLOOKUP(C6,'Plan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6" s="1" t="str">
        <f>VLOOKUP(C6,'Plan (PPL Template)'!A4:C7,3,FALSE())</f>
        <v>Quads, Hamstrings, Calves, Shoulders (medial+posterior delt), Core</v>
      </c>
    </row>
    <row r="7" xml:space="preserve">
      <c r="A7" s="1">
        <v>46191</v>
      </c>
      <c r="B7" s="1" t="str">
        <f>TEXT(A7,"DDDD")</f>
        <v>Thursday</v>
      </c>
      <c r="C7" s="1" t="str">
        <f>CHOOSE(WEEKDAY(A7,2),"Push","Pull","Legs","Push","Pull","Legs","Rest")</f>
        <v>Push</v>
      </c>
      <c r="D7" s="1" t="str" xml:space="preserve">
        <f>VLOOKUP(C7,'Plan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7" s="1" t="str">
        <f>VLOOKUP(C7,'Plan (PPL Template)'!A4:C7,3,FALSE())</f>
        <v>Upper Chest (priority), Triceps - long head + lateral head</v>
      </c>
    </row>
    <row r="8" xml:space="preserve">
      <c r="A8" s="1">
        <v>46192</v>
      </c>
      <c r="B8" s="1" t="str">
        <f>TEXT(A8,"DDDD")</f>
        <v>Friday</v>
      </c>
      <c r="C8" s="1" t="str">
        <f>CHOOSE(WEEKDAY(A8,2),"Push","Pull","Legs","Push","Pull","Legs","Rest")</f>
        <v>Pull</v>
      </c>
      <c r="D8" s="1" t="str" xml:space="preserve">
        <f>VLOOKUP(C8,'Plan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8" s="1" t="str">
        <f>VLOOKUP(C8,'Plan (PPL Template)'!A4:C7,3,FALSE())</f>
        <v>Lat Width, Back Thickness, Rear Delts/Posture, Biceps, Forearms</v>
      </c>
    </row>
    <row r="9" xml:space="preserve">
      <c r="A9" s="1">
        <v>46193</v>
      </c>
      <c r="B9" s="1" t="str">
        <f>TEXT(A9,"DDDD")</f>
        <v>Saturday</v>
      </c>
      <c r="C9" s="1" t="str">
        <f>CHOOSE(WEEKDAY(A9,2),"Push","Pull","Legs","Push","Pull","Legs","Rest")</f>
        <v>Legs</v>
      </c>
      <c r="D9" s="1" t="str" xml:space="preserve">
        <f>VLOOKUP(C9,'Plan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9" s="1" t="str">
        <f>VLOOKUP(C9,'Plan (PPL Template)'!A4:C7,3,FALSE())</f>
        <v>Quads, Hamstrings, Calves, Shoulders (medial+posterior delt), Core</v>
      </c>
    </row>
    <row r="10">
      <c r="A10" s="1">
        <v>46194</v>
      </c>
      <c r="B10" s="1" t="str">
        <f>TEXT(A10,"DDDD")</f>
        <v>Sunday</v>
      </c>
      <c r="C10" s="1" t="str">
        <f>CHOOSE(WEEKDAY(A10,2),"Push","Pull","Legs","Push","Pull","Legs","Rest")</f>
        <v>Rest</v>
      </c>
      <c r="D10" s="1" t="str">
        <f>VLOOKUP(C10,'Plan (PPL Template)'!A4:C7,2,FALSE())</f>
        <v>Rest Day - Recovery, mobility, sleep, magnesium at night</v>
      </c>
      <c r="E10" s="1" t="str">
        <f>VLOOKUP(C10,'Plan (PPL Template)'!A4:C7,3,FALSE())</f>
        <v>Recovery</v>
      </c>
    </row>
    <row r="11" xml:space="preserve">
      <c r="A11" s="1">
        <v>46195</v>
      </c>
      <c r="B11" s="1" t="str">
        <f>TEXT(A11,"DDDD")</f>
        <v>Monday</v>
      </c>
      <c r="C11" s="1" t="str">
        <f>CHOOSE(WEEKDAY(A11,2),"Push","Pull","Legs","Push","Pull","Legs","Rest")</f>
        <v>Push</v>
      </c>
      <c r="D11" s="1" t="str" xml:space="preserve">
        <f>VLOOKUP(C11,'Plan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1" s="1" t="str">
        <f>VLOOKUP(C11,'Plan (PPL Template)'!A4:C7,3,FALSE())</f>
        <v>Upper Chest (priority), Triceps - long head + lateral head</v>
      </c>
    </row>
    <row r="12" xml:space="preserve">
      <c r="A12" s="1">
        <v>46196</v>
      </c>
      <c r="B12" s="1" t="str">
        <f>TEXT(A12,"DDDD")</f>
        <v>Tuesday</v>
      </c>
      <c r="C12" s="1" t="str">
        <f>CHOOSE(WEEKDAY(A12,2),"Push","Pull","Legs","Push","Pull","Legs","Rest")</f>
        <v>Pull</v>
      </c>
      <c r="D12" s="1" t="str" xml:space="preserve">
        <f>VLOOKUP(C12,'Plan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2" s="1" t="str">
        <f>VLOOKUP(C12,'Plan (PPL Template)'!A4:C7,3,FALSE())</f>
        <v>Lat Width, Back Thickness, Rear Delts/Posture, Biceps, Forearms</v>
      </c>
    </row>
    <row r="13" xml:space="preserve">
      <c r="A13" s="1">
        <v>46197</v>
      </c>
      <c r="B13" s="1" t="str">
        <f>TEXT(A13,"DDDD")</f>
        <v>Wednesday</v>
      </c>
      <c r="C13" s="1" t="str">
        <f>CHOOSE(WEEKDAY(A13,2),"Push","Pull","Legs","Push","Pull","Legs","Rest")</f>
        <v>Legs</v>
      </c>
      <c r="D13" s="1" t="str" xml:space="preserve">
        <f>VLOOKUP(C13,'Plan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3" s="1" t="str">
        <f>VLOOKUP(C13,'Plan (PPL Template)'!A4:C7,3,FALSE())</f>
        <v>Quads, Hamstrings, Calves, Shoulders (medial+posterior delt), Core</v>
      </c>
    </row>
    <row r="14" xml:space="preserve">
      <c r="A14" s="1">
        <v>46198</v>
      </c>
      <c r="B14" s="1" t="str">
        <f>TEXT(A14,"DDDD")</f>
        <v>Thursday</v>
      </c>
      <c r="C14" s="1" t="str">
        <f>CHOOSE(WEEKDAY(A14,2),"Push","Pull","Legs","Push","Pull","Legs","Rest")</f>
        <v>Push</v>
      </c>
      <c r="D14" s="1" t="str" xml:space="preserve">
        <f>VLOOKUP(C14,'Plan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4" s="1" t="str">
        <f>VLOOKUP(C14,'Plan (PPL Template)'!A4:C7,3,FALSE())</f>
        <v>Upper Chest (priority), Triceps - long head + lateral head</v>
      </c>
    </row>
    <row r="15" xml:space="preserve">
      <c r="A15" s="1">
        <v>46199</v>
      </c>
      <c r="B15" s="1" t="str">
        <f>TEXT(A15,"DDDD")</f>
        <v>Friday</v>
      </c>
      <c r="C15" s="1" t="str">
        <f>CHOOSE(WEEKDAY(A15,2),"Push","Pull","Legs","Push","Pull","Legs","Rest")</f>
        <v>Pull</v>
      </c>
      <c r="D15" s="1" t="str" xml:space="preserve">
        <f>VLOOKUP(C15,'Plan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5" s="1" t="str">
        <f>VLOOKUP(C15,'Plan (PPL Template)'!A4:C7,3,FALSE())</f>
        <v>Lat Width, Back Thickness, Rear Delts/Posture, Biceps, Forearms</v>
      </c>
    </row>
    <row r="16" xml:space="preserve">
      <c r="A16" s="1">
        <v>46200</v>
      </c>
      <c r="B16" s="1" t="str">
        <f>TEXT(A16,"DDDD")</f>
        <v>Saturday</v>
      </c>
      <c r="C16" s="1" t="str">
        <f>CHOOSE(WEEKDAY(A16,2),"Push","Pull","Legs","Push","Pull","Legs","Rest")</f>
        <v>Legs</v>
      </c>
      <c r="D16" s="1" t="str" xml:space="preserve">
        <f>VLOOKUP(C16,'Plan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6" s="1" t="str">
        <f>VLOOKUP(C16,'Plan (PPL Template)'!A4:C7,3,FALSE())</f>
        <v>Quads, Hamstrings, Calves, Shoulders (medial+posterior delt), Core</v>
      </c>
    </row>
    <row r="17">
      <c r="A17" s="1">
        <v>46201</v>
      </c>
      <c r="B17" s="1" t="str">
        <f>TEXT(A17,"DDDD")</f>
        <v>Sunday</v>
      </c>
      <c r="C17" s="1" t="str">
        <f>CHOOSE(WEEKDAY(A17,2),"Push","Pull","Legs","Push","Pull","Legs","Rest")</f>
        <v>Rest</v>
      </c>
      <c r="D17" s="1" t="str">
        <f>VLOOKUP(C17,'Plan (PPL Template)'!A4:C7,2,FALSE())</f>
        <v>Rest Day - Recovery, mobility, sleep, magnesium at night</v>
      </c>
      <c r="E17" s="1" t="str">
        <f>VLOOKUP(C17,'Plan (PPL Template)'!A4:C7,3,FALSE())</f>
        <v>Recovery</v>
      </c>
    </row>
    <row r="18" xml:space="preserve">
      <c r="A18" s="1">
        <v>46202</v>
      </c>
      <c r="B18" s="1" t="str">
        <f>TEXT(A18,"DDDD")</f>
        <v>Monday</v>
      </c>
      <c r="C18" s="1" t="str">
        <f>CHOOSE(WEEKDAY(A18,2),"Push","Pull","Legs","Push","Pull","Legs","Rest")</f>
        <v>Push</v>
      </c>
      <c r="D18" s="1" t="str" xml:space="preserve">
        <f>VLOOKUP(C18,'Plan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8" s="1" t="str">
        <f>VLOOKUP(C18,'Plan (PPL Template)'!A4:C7,3,FALSE())</f>
        <v>Upper Chest (priority), Triceps - long head + lateral head</v>
      </c>
    </row>
    <row r="19" xml:space="preserve">
      <c r="A19" s="1">
        <v>46203</v>
      </c>
      <c r="B19" s="1" t="str">
        <f>TEXT(A19,"DDDD")</f>
        <v>Tuesday</v>
      </c>
      <c r="C19" s="1" t="str">
        <f>CHOOSE(WEEKDAY(A19,2),"Push","Pull","Legs","Push","Pull","Legs","Rest")</f>
        <v>Pull</v>
      </c>
      <c r="D19" s="1" t="str" xml:space="preserve">
        <f>VLOOKUP(C19,'Plan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9" s="1" t="str">
        <f>VLOOKUP(C19,'Plan (PPL Template)'!A4:C7,3,FALSE())</f>
        <v>Lat Width, Back Thickness, Rear Delts/Posture, Biceps, Forearms</v>
      </c>
    </row>
    <row r="20" xml:space="preserve">
      <c r="A20" s="1">
        <v>46204</v>
      </c>
      <c r="B20" s="1" t="str">
        <f>TEXT(A20,"DDDD")</f>
        <v>Wednesday</v>
      </c>
      <c r="C20" s="1" t="str">
        <f>CHOOSE(WEEKDAY(A20,2),"Push","Pull","Legs","Push","Pull","Legs","Rest")</f>
        <v>Legs</v>
      </c>
      <c r="D20" s="1" t="str" xml:space="preserve">
        <f>VLOOKUP(C20,'Plan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20" s="1" t="str">
        <f>VLOOKUP(C20,'Plan (PPL Template)'!A4:C7,3,FALSE())</f>
        <v>Quads, Hamstrings, Calves, Shoulders (medial+posterior delt), Core</v>
      </c>
    </row>
    <row r="21" xml:space="preserve">
      <c r="A21" s="1">
        <v>46205</v>
      </c>
      <c r="B21" s="1" t="str">
        <f>TEXT(A21,"DDDD")</f>
        <v>Thursday</v>
      </c>
      <c r="C21" s="1" t="str">
        <f>CHOOSE(WEEKDAY(A21,2),"Push","Pull","Legs","Push","Pull","Legs","Rest")</f>
        <v>Push</v>
      </c>
      <c r="D21" s="1" t="str" xml:space="preserve">
        <f>VLOOKUP(C21,'Plan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21" s="1" t="str">
        <f>VLOOKUP(C21,'Plan (PPL Template)'!A4:C7,3,FALSE())</f>
        <v>Upper Chest (priority), Triceps - long head + lateral head</v>
      </c>
    </row>
    <row r="22" xml:space="preserve">
      <c r="A22" s="1">
        <v>46206</v>
      </c>
      <c r="B22" s="1" t="str">
        <f>TEXT(A22,"DDDD")</f>
        <v>Friday</v>
      </c>
      <c r="C22" s="1" t="str">
        <f>CHOOSE(WEEKDAY(A22,2),"Push","Pull","Legs","Push","Pull","Legs","Rest")</f>
        <v>Pull</v>
      </c>
      <c r="D22" s="1" t="str" xml:space="preserve">
        <f>VLOOKUP(C22,'Plan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22" s="1" t="str">
        <f>VLOOKUP(C22,'Plan (PPL Template)'!A4:C7,3,FALSE())</f>
        <v>Lat Width, Back Thickness, Rear Delts/Posture, Biceps, Forearms</v>
      </c>
    </row>
    <row r="23" xml:space="preserve">
      <c r="A23" s="1">
        <v>46207</v>
      </c>
      <c r="B23" s="1" t="str">
        <f>TEXT(A23,"DDDD")</f>
        <v>Saturday</v>
      </c>
      <c r="C23" s="1" t="str">
        <f>CHOOSE(WEEKDAY(A23,2),"Push","Pull","Legs","Push","Pull","Legs","Rest")</f>
        <v>Legs</v>
      </c>
      <c r="D23" s="1" t="str" xml:space="preserve">
        <f>VLOOKUP(C23,'Plan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23" s="1" t="str">
        <f>VLOOKUP(C23,'Plan (PPL Template)'!A4:C7,3,FALSE())</f>
        <v>Quads, Hamstrings, Calves, Shoulders (medial+posterior delt), Core</v>
      </c>
    </row>
    <row r="24">
      <c r="A24" s="1">
        <v>46208</v>
      </c>
      <c r="B24" s="1" t="str">
        <f>TEXT(A24,"DDDD")</f>
        <v>Sunday</v>
      </c>
      <c r="C24" s="1" t="str">
        <f>CHOOSE(WEEKDAY(A24,2),"Push","Pull","Legs","Push","Pull","Legs","Rest")</f>
        <v>Rest</v>
      </c>
      <c r="D24" s="1" t="str">
        <f>VLOOKUP(C24,'Plan (PPL Template)'!A4:C7,2,FALSE())</f>
        <v>Rest Day - Recovery, mobility, sleep, magnesium at night</v>
      </c>
      <c r="E24" s="1" t="str">
        <f>VLOOKUP(C24,'Plan (PPL Template)'!A4:C7,3,FALSE())</f>
        <v>Recovery</v>
      </c>
    </row>
    <row r="25" xml:space="preserve">
      <c r="A25" s="1">
        <v>46209</v>
      </c>
      <c r="B25" s="1" t="str">
        <f>TEXT(A25,"DDDD")</f>
        <v>Monday</v>
      </c>
      <c r="C25" s="1" t="str">
        <f>CHOOSE(WEEKDAY(A25,2),"Push","Pull","Legs","Push","Pull","Legs","Rest")</f>
        <v>Push</v>
      </c>
      <c r="D25" s="1" t="str" xml:space="preserve">
        <f>VLOOKUP(C25,'Plan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25" s="1" t="str">
        <f>VLOOKUP(C25,'Plan (PPL Template)'!A4:C7,3,FALSE())</f>
        <v>Upper Chest (priority), Triceps - long head + lateral head</v>
      </c>
    </row>
    <row r="26" xml:space="preserve">
      <c r="A26" s="1">
        <v>46210</v>
      </c>
      <c r="B26" s="1" t="str">
        <f>TEXT(A26,"DDDD")</f>
        <v>Tuesday</v>
      </c>
      <c r="C26" s="1" t="str">
        <f>CHOOSE(WEEKDAY(A26,2),"Push","Pull","Legs","Push","Pull","Legs","Rest")</f>
        <v>Pull</v>
      </c>
      <c r="D26" s="1" t="str" xml:space="preserve">
        <f>VLOOKUP(C26,'Plan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26" s="1" t="str">
        <f>VLOOKUP(C26,'Plan (PPL Template)'!A4:C7,3,FALSE())</f>
        <v>Lat Width, Back Thickness, Rear Delts/Posture, Biceps, Forearms</v>
      </c>
    </row>
    <row r="27" xml:space="preserve">
      <c r="A27" s="1">
        <v>46211</v>
      </c>
      <c r="B27" s="1" t="str">
        <f>TEXT(A27,"DDDD")</f>
        <v>Wednesday</v>
      </c>
      <c r="C27" s="1" t="str">
        <f>CHOOSE(WEEKDAY(A27,2),"Push","Pull","Legs","Push","Pull","Legs","Rest")</f>
        <v>Legs</v>
      </c>
      <c r="D27" s="1" t="str" xml:space="preserve">
        <f>VLOOKUP(C27,'Plan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27" s="1" t="str">
        <f>VLOOKUP(C27,'Plan (PPL Template)'!A4:C7,3,FALSE())</f>
        <v>Quads, Hamstrings, Calves, Shoulders (medial+posterior delt), Core</v>
      </c>
    </row>
    <row r="28" xml:space="preserve">
      <c r="A28" s="1">
        <v>46212</v>
      </c>
      <c r="B28" s="1" t="str">
        <f>TEXT(A28,"DDDD")</f>
        <v>Thursday</v>
      </c>
      <c r="C28" s="1" t="str">
        <f>CHOOSE(WEEKDAY(A28,2),"Push","Pull","Legs","Push","Pull","Legs","Rest")</f>
        <v>Push</v>
      </c>
      <c r="D28" s="1" t="str" xml:space="preserve">
        <f>VLOOKUP(C28,'Plan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28" s="1" t="str">
        <f>VLOOKUP(C28,'Plan (PPL Template)'!A4:C7,3,FALSE())</f>
        <v>Upper Chest (priority), Triceps - long head + lateral head</v>
      </c>
    </row>
    <row r="29" xml:space="preserve">
      <c r="A29" s="1">
        <v>46213</v>
      </c>
      <c r="B29" s="1" t="str">
        <f>TEXT(A29,"DDDD")</f>
        <v>Friday</v>
      </c>
      <c r="C29" s="1" t="str">
        <f>CHOOSE(WEEKDAY(A29,2),"Push","Pull","Legs","Push","Pull","Legs","Rest")</f>
        <v>Pull</v>
      </c>
      <c r="D29" s="1" t="str" xml:space="preserve">
        <f>VLOOKUP(C29,'Plan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29" s="1" t="str">
        <f>VLOOKUP(C29,'Plan (PPL Template)'!A4:C7,3,FALSE())</f>
        <v>Lat Width, Back Thickness, Rear Delts/Posture, Biceps, Forearms</v>
      </c>
    </row>
    <row r="30" xml:space="preserve">
      <c r="A30" s="1">
        <v>46214</v>
      </c>
      <c r="B30" s="1" t="str">
        <f>TEXT(A30,"DDDD")</f>
        <v>Saturday</v>
      </c>
      <c r="C30" s="1" t="str">
        <f>CHOOSE(WEEKDAY(A30,2),"Push","Pull","Legs","Push","Pull","Legs","Rest")</f>
        <v>Legs</v>
      </c>
      <c r="D30" s="1" t="str" xml:space="preserve">
        <f>VLOOKUP(C30,'Plan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30" s="1" t="str">
        <f>VLOOKUP(C30,'Plan (PPL Template)'!A4:C7,3,FALSE())</f>
        <v>Quads, Hamstrings, Calves, Shoulders (medial+posterior delt), Core</v>
      </c>
    </row>
    <row r="31">
      <c r="A31" s="1">
        <v>46215</v>
      </c>
      <c r="B31" s="1" t="str">
        <f>TEXT(A31,"DDDD")</f>
        <v>Sunday</v>
      </c>
      <c r="C31" s="1" t="str">
        <f>CHOOSE(WEEKDAY(A31,2),"Push","Pull","Legs","Push","Pull","Legs","Rest")</f>
        <v>Rest</v>
      </c>
      <c r="D31" s="1" t="str">
        <f>VLOOKUP(C31,'Plan (PPL Template)'!A4:C7,2,FALSE())</f>
        <v>Rest Day - Recovery, mobility, sleep, magnesium at night</v>
      </c>
      <c r="E31" s="1" t="str">
        <f>VLOOKUP(C31,'Plan (PPL Template)'!A4:C7,3,FALSE())</f>
        <v>Recovery</v>
      </c>
    </row>
    <row r="32" xml:space="preserve">
      <c r="A32" s="1">
        <v>46216</v>
      </c>
      <c r="B32" s="1" t="str">
        <f>TEXT(A32,"DDDD")</f>
        <v>Monday</v>
      </c>
      <c r="C32" s="1" t="str">
        <f>CHOOSE(WEEKDAY(A32,2),"Push","Pull","Legs","Push","Pull","Legs","Rest")</f>
        <v>Push</v>
      </c>
      <c r="D32" s="1" t="str" xml:space="preserve">
        <f>VLOOKUP(C32,'Plan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32" s="1" t="str">
        <f>VLOOKUP(C32,'Plan (PPL Template)'!A4:C7,3,FALSE())</f>
        <v>Upper Chest (priority), Triceps - long head + lateral head</v>
      </c>
    </row>
    <row r="33" xml:space="preserve">
      <c r="A33" s="1">
        <v>46217</v>
      </c>
      <c r="B33" s="1" t="str">
        <f>TEXT(A33,"DDDD")</f>
        <v>Tuesday</v>
      </c>
      <c r="C33" s="1" t="str">
        <f>CHOOSE(WEEKDAY(A33,2),"Push","Pull","Legs","Push","Pull","Legs","Rest")</f>
        <v>Pull</v>
      </c>
      <c r="D33" s="1" t="str" xml:space="preserve">
        <f>VLOOKUP(C33,'Plan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33" s="1" t="str">
        <f>VLOOKUP(C33,'Plan (PPL Template)'!A4:C7,3,FALSE())</f>
        <v>Lat Width, Back Thickness, Rear Delts/Posture, Biceps, Forearms</v>
      </c>
    </row>
    <row r="34" xml:space="preserve">
      <c r="A34" s="1">
        <v>46218</v>
      </c>
      <c r="B34" s="1" t="str">
        <f>TEXT(A34,"DDDD")</f>
        <v>Wednesday</v>
      </c>
      <c r="C34" s="1" t="str">
        <f>CHOOSE(WEEKDAY(A34,2),"Push","Pull","Legs","Push","Pull","Legs","Rest")</f>
        <v>Legs</v>
      </c>
      <c r="D34" s="1" t="str" xml:space="preserve">
        <f>VLOOKUP(C34,'Plan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34" s="1" t="str">
        <f>VLOOKUP(C34,'Plan (PPL Template)'!A4:C7,3,FALSE())</f>
        <v>Quads, Hamstrings, Calves, Shoulders (medial+posterior delt), Core</v>
      </c>
    </row>
    <row r="35" xml:space="preserve">
      <c r="A35" s="1">
        <v>46219</v>
      </c>
      <c r="B35" s="1" t="str">
        <f>TEXT(A35,"DDDD")</f>
        <v>Thursday</v>
      </c>
      <c r="C35" s="1" t="str">
        <f>CHOOSE(WEEKDAY(A35,2),"Push","Pull","Legs","Push","Pull","Legs","Rest")</f>
        <v>Push</v>
      </c>
      <c r="D35" s="1" t="str" xml:space="preserve">
        <f>VLOOKUP(C35,'Plan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35" s="1" t="str">
        <f>VLOOKUP(C35,'Plan (PPL Template)'!A4:C7,3,FALSE())</f>
        <v>Upper Chest (priority), Triceps - long head + lateral head</v>
      </c>
    </row>
    <row r="36" xml:space="preserve">
      <c r="A36" s="1">
        <v>46220</v>
      </c>
      <c r="B36" s="1" t="str">
        <f>TEXT(A36,"DDDD")</f>
        <v>Friday</v>
      </c>
      <c r="C36" s="1" t="str">
        <f>CHOOSE(WEEKDAY(A36,2),"Push","Pull","Legs","Push","Pull","Legs","Rest")</f>
        <v>Pull</v>
      </c>
      <c r="D36" s="1" t="str" xml:space="preserve">
        <f>VLOOKUP(C36,'Plan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36" s="1" t="str">
        <f>VLOOKUP(C36,'Plan (PPL Template)'!A4:C7,3,FALSE())</f>
        <v>Lat Width, Back Thickness, Rear Delts/Posture, Biceps, Forearms</v>
      </c>
    </row>
    <row r="37" xml:space="preserve">
      <c r="A37" s="1">
        <v>46221</v>
      </c>
      <c r="B37" s="1" t="str">
        <f>TEXT(A37,"DDDD")</f>
        <v>Saturday</v>
      </c>
      <c r="C37" s="1" t="str">
        <f>CHOOSE(WEEKDAY(A37,2),"Push","Pull","Legs","Push","Pull","Legs","Rest")</f>
        <v>Legs</v>
      </c>
      <c r="D37" s="1" t="str" xml:space="preserve">
        <f>VLOOKUP(C37,'Plan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37" s="1" t="str">
        <f>VLOOKUP(C37,'Plan (PPL Template)'!A4:C7,3,FALSE())</f>
        <v>Quads, Hamstrings, Calves, Shoulders (medial+posterior delt), Core</v>
      </c>
    </row>
    <row r="38">
      <c r="A38" s="1">
        <v>46222</v>
      </c>
      <c r="B38" s="1" t="str">
        <f>TEXT(A38,"DDDD")</f>
        <v>Sunday</v>
      </c>
      <c r="C38" s="1" t="str">
        <f>CHOOSE(WEEKDAY(A38,2),"Push","Pull","Legs","Push","Pull","Legs","Rest")</f>
        <v>Rest</v>
      </c>
      <c r="D38" s="1" t="str">
        <f>VLOOKUP(C38,'Plan (PPL Template)'!A4:C7,2,FALSE())</f>
        <v>Rest Day - Recovery, mobility, sleep, magnesium at night</v>
      </c>
      <c r="E38" s="1" t="str">
        <f>VLOOKUP(C38,'Plan (PPL Template)'!A4:C7,3,FALSE())</f>
        <v>Recovery</v>
      </c>
    </row>
    <row r="39" xml:space="preserve">
      <c r="A39" s="1">
        <v>46223</v>
      </c>
      <c r="B39" s="1" t="str">
        <f>TEXT(A39,"DDDD")</f>
        <v>Monday</v>
      </c>
      <c r="C39" s="1" t="str">
        <f>CHOOSE(WEEKDAY(A39,2),"Push","Pull","Legs","Push","Pull","Legs","Rest")</f>
        <v>Push</v>
      </c>
      <c r="D39" s="1" t="str" xml:space="preserve">
        <f>VLOOKUP(C39,'Plan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39" s="1" t="str">
        <f>VLOOKUP(C39,'Plan (PPL Template)'!A4:C7,3,FALSE())</f>
        <v>Upper Chest (priority), Triceps - long head + lateral head</v>
      </c>
    </row>
    <row r="40" xml:space="preserve">
      <c r="A40" s="1">
        <v>46224</v>
      </c>
      <c r="B40" s="1" t="str">
        <f>TEXT(A40,"DDDD")</f>
        <v>Tuesday</v>
      </c>
      <c r="C40" s="1" t="str">
        <f>CHOOSE(WEEKDAY(A40,2),"Push","Pull","Legs","Push","Pull","Legs","Rest")</f>
        <v>Pull</v>
      </c>
      <c r="D40" s="1" t="str" xml:space="preserve">
        <f>VLOOKUP(C40,'Plan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40" s="1" t="str">
        <f>VLOOKUP(C40,'Plan (PPL Template)'!A4:C7,3,FALSE())</f>
        <v>Lat Width, Back Thickness, Rear Delts/Posture, Biceps, Forearms</v>
      </c>
    </row>
    <row r="41" xml:space="preserve">
      <c r="A41" s="1">
        <v>46225</v>
      </c>
      <c r="B41" s="1" t="str">
        <f>TEXT(A41,"DDDD")</f>
        <v>Wednesday</v>
      </c>
      <c r="C41" s="1" t="str">
        <f>CHOOSE(WEEKDAY(A41,2),"Push","Pull","Legs","Push","Pull","Legs","Rest")</f>
        <v>Legs</v>
      </c>
      <c r="D41" s="1" t="str" xml:space="preserve">
        <f>VLOOKUP(C41,'Plan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41" s="1" t="str">
        <f>VLOOKUP(C41,'Plan (PPL Template)'!A4:C7,3,FALSE())</f>
        <v>Quads, Hamstrings, Calves, Shoulders (medial+posterior delt), Core</v>
      </c>
    </row>
    <row r="42" xml:space="preserve">
      <c r="A42" s="1">
        <v>46226</v>
      </c>
      <c r="B42" s="1" t="str">
        <f>TEXT(A42,"DDDD")</f>
        <v>Thursday</v>
      </c>
      <c r="C42" s="1" t="str">
        <f>CHOOSE(WEEKDAY(A42,2),"Push","Pull","Legs","Push","Pull","Legs","Rest")</f>
        <v>Push</v>
      </c>
      <c r="D42" s="1" t="str" xml:space="preserve">
        <f>VLOOKUP(C42,'Plan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42" s="1" t="str">
        <f>VLOOKUP(C42,'Plan (PPL Template)'!A4:C7,3,FALSE())</f>
        <v>Upper Chest (priority), Triceps - long head + lateral head</v>
      </c>
    </row>
    <row r="43" xml:space="preserve">
      <c r="A43" s="1">
        <v>46227</v>
      </c>
      <c r="B43" s="1" t="str">
        <f>TEXT(A43,"DDDD")</f>
        <v>Friday</v>
      </c>
      <c r="C43" s="1" t="str">
        <f>CHOOSE(WEEKDAY(A43,2),"Push","Pull","Legs","Push","Pull","Legs","Rest")</f>
        <v>Pull</v>
      </c>
      <c r="D43" s="1" t="str" xml:space="preserve">
        <f>VLOOKUP(C43,'Plan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43" s="1" t="str">
        <f>VLOOKUP(C43,'Plan (PPL Template)'!A4:C7,3,FALSE())</f>
        <v>Lat Width, Back Thickness, Rear Delts/Posture, Biceps, Forearms</v>
      </c>
    </row>
    <row r="44" xml:space="preserve">
      <c r="A44" s="1">
        <v>46228</v>
      </c>
      <c r="B44" s="1" t="str">
        <f>TEXT(A44,"DDDD")</f>
        <v>Saturday</v>
      </c>
      <c r="C44" s="1" t="str">
        <f>CHOOSE(WEEKDAY(A44,2),"Push","Pull","Legs","Push","Pull","Legs","Rest")</f>
        <v>Legs</v>
      </c>
      <c r="D44" s="1" t="str" xml:space="preserve">
        <f>VLOOKUP(C44,'Plan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44" s="1" t="str">
        <f>VLOOKUP(C44,'Plan (PPL Template)'!A4:C7,3,FALSE())</f>
        <v>Quads, Hamstrings, Calves, Shoulders (medial+posterior delt), Core</v>
      </c>
    </row>
    <row r="45">
      <c r="A45" s="1">
        <v>46229</v>
      </c>
      <c r="B45" s="1" t="str">
        <f>TEXT(A45,"DDDD")</f>
        <v>Sunday</v>
      </c>
      <c r="C45" s="1" t="str">
        <f>CHOOSE(WEEKDAY(A45,2),"Push","Pull","Legs","Push","Pull","Legs","Rest")</f>
        <v>Rest</v>
      </c>
      <c r="D45" s="1" t="str">
        <f>VLOOKUP(C45,'Plan (PPL Template)'!A4:C7,2,FALSE())</f>
        <v>Rest Day - Recovery, mobility, sleep, magnesium at night</v>
      </c>
      <c r="E45" s="1" t="str">
        <f>VLOOKUP(C45,'Plan (PPL Template)'!A4:C7,3,FALSE())</f>
        <v>Recovery</v>
      </c>
    </row>
    <row r="46" xml:space="preserve">
      <c r="A46" s="1">
        <v>46230</v>
      </c>
      <c r="B46" s="1" t="str">
        <f>TEXT(A46,"DDDD")</f>
        <v>Monday</v>
      </c>
      <c r="C46" s="1" t="str">
        <f>CHOOSE(WEEKDAY(A46,2),"Push","Pull","Legs","Push","Pull","Legs","Rest")</f>
        <v>Push</v>
      </c>
      <c r="D46" s="1" t="str" xml:space="preserve">
        <f>VLOOKUP(C46,'Plan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46" s="1" t="str">
        <f>VLOOKUP(C46,'Plan (PPL Template)'!A4:C7,3,FALSE())</f>
        <v>Upper Chest (priority), Triceps - long head + lateral head</v>
      </c>
    </row>
    <row r="47" xml:space="preserve">
      <c r="A47" s="1">
        <v>46231</v>
      </c>
      <c r="B47" s="1" t="str">
        <f>TEXT(A47,"DDDD")</f>
        <v>Tuesday</v>
      </c>
      <c r="C47" s="1" t="str">
        <f>CHOOSE(WEEKDAY(A47,2),"Push","Pull","Legs","Push","Pull","Legs","Rest")</f>
        <v>Pull</v>
      </c>
      <c r="D47" s="1" t="str" xml:space="preserve">
        <f>VLOOKUP(C47,'Plan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47" s="1" t="str">
        <f>VLOOKUP(C47,'Plan (PPL Template)'!A4:C7,3,FALSE())</f>
        <v>Lat Width, Back Thickness, Rear Delts/Posture, Biceps, Forearms</v>
      </c>
    </row>
    <row r="48" xml:space="preserve">
      <c r="A48" s="1">
        <v>46232</v>
      </c>
      <c r="B48" s="1" t="str">
        <f>TEXT(A48,"DDDD")</f>
        <v>Wednesday</v>
      </c>
      <c r="C48" s="1" t="str">
        <f>CHOOSE(WEEKDAY(A48,2),"Push","Pull","Legs","Push","Pull","Legs","Rest")</f>
        <v>Legs</v>
      </c>
      <c r="D48" s="1" t="str" xml:space="preserve">
        <f>VLOOKUP(C48,'Plan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48" s="1" t="str">
        <f>VLOOKUP(C48,'Plan (PPL Template)'!A4:C7,3,FALSE())</f>
        <v>Quads, Hamstrings, Calves, Shoulders (medial+posterior delt), Core</v>
      </c>
    </row>
    <row r="49" xml:space="preserve">
      <c r="A49" s="1">
        <v>46233</v>
      </c>
      <c r="B49" s="1" t="str">
        <f>TEXT(A49,"DDDD")</f>
        <v>Thursday</v>
      </c>
      <c r="C49" s="1" t="str">
        <f>CHOOSE(WEEKDAY(A49,2),"Push","Pull","Legs","Push","Pull","Legs","Rest")</f>
        <v>Push</v>
      </c>
      <c r="D49" s="1" t="str" xml:space="preserve">
        <f>VLOOKUP(C49,'Plan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49" s="1" t="str">
        <f>VLOOKUP(C49,'Plan (PPL Template)'!A4:C7,3,FALSE())</f>
        <v>Upper Chest (priority), Triceps - long head + lateral head</v>
      </c>
    </row>
    <row r="50" xml:space="preserve">
      <c r="A50" s="1">
        <v>46234</v>
      </c>
      <c r="B50" s="1" t="str">
        <f>TEXT(A50,"DDDD")</f>
        <v>Friday</v>
      </c>
      <c r="C50" s="1" t="str">
        <f>CHOOSE(WEEKDAY(A50,2),"Push","Pull","Legs","Push","Pull","Legs","Rest")</f>
        <v>Pull</v>
      </c>
      <c r="D50" s="1" t="str" xml:space="preserve">
        <f>VLOOKUP(C50,'Plan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50" s="1" t="str">
        <f>VLOOKUP(C50,'Plan (PPL Template)'!A4:C7,3,FALSE())</f>
        <v>Lat Width, Back Thickness, Rear Delts/Posture, Biceps, Forearms</v>
      </c>
    </row>
    <row r="51" xml:space="preserve">
      <c r="A51" s="1">
        <v>46235</v>
      </c>
      <c r="B51" s="1" t="str">
        <f>TEXT(A51,"DDDD")</f>
        <v>Saturday</v>
      </c>
      <c r="C51" s="1" t="str">
        <f>CHOOSE(WEEKDAY(A51,2),"Push","Pull","Legs","Push","Pull","Legs","Rest")</f>
        <v>Legs</v>
      </c>
      <c r="D51" s="1" t="str" xml:space="preserve">
        <f>VLOOKUP(C51,'Plan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51" s="1" t="str">
        <f>VLOOKUP(C51,'Plan (PPL Template)'!A4:C7,3,FALSE())</f>
        <v>Quads, Hamstrings, Calves, Shoulders (medial+posterior delt), Core</v>
      </c>
    </row>
    <row r="52">
      <c r="A52" s="1">
        <v>46236</v>
      </c>
      <c r="B52" s="1" t="str">
        <f>TEXT(A52,"DDDD")</f>
        <v>Sunday</v>
      </c>
      <c r="C52" s="1" t="str">
        <f>CHOOSE(WEEKDAY(A52,2),"Push","Pull","Legs","Push","Pull","Legs","Rest")</f>
        <v>Rest</v>
      </c>
      <c r="D52" s="1" t="str">
        <f>VLOOKUP(C52,'Plan (PPL Template)'!A4:C7,2,FALSE())</f>
        <v>Rest Day - Recovery, mobility, sleep, magnesium at night</v>
      </c>
      <c r="E52" s="1" t="str">
        <f>VLOOKUP(C52,'Plan (PPL Template)'!A4:C7,3,FALSE())</f>
        <v>Recovery</v>
      </c>
    </row>
    <row r="53" xml:space="preserve">
      <c r="A53" s="1">
        <v>46237</v>
      </c>
      <c r="B53" s="1" t="str">
        <f>TEXT(A53,"DDDD")</f>
        <v>Monday</v>
      </c>
      <c r="C53" s="1" t="str">
        <f>CHOOSE(WEEKDAY(A53,2),"Push","Pull","Legs","Push","Pull","Legs","Rest")</f>
        <v>Push</v>
      </c>
      <c r="D53" s="1" t="str" xml:space="preserve">
        <f>VLOOKUP(C53,'Plan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53" s="1" t="str">
        <f>VLOOKUP(C53,'Plan (PPL Template)'!A4:C7,3,FALSE())</f>
        <v>Upper Chest (priority), Triceps - long head + lateral head</v>
      </c>
    </row>
    <row r="54" xml:space="preserve">
      <c r="A54" s="1">
        <v>46238</v>
      </c>
      <c r="B54" s="1" t="str">
        <f>TEXT(A54,"DDDD")</f>
        <v>Tuesday</v>
      </c>
      <c r="C54" s="1" t="str">
        <f>CHOOSE(WEEKDAY(A54,2),"Push","Pull","Legs","Push","Pull","Legs","Rest")</f>
        <v>Pull</v>
      </c>
      <c r="D54" s="1" t="str" xml:space="preserve">
        <f>VLOOKUP(C54,'Plan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54" s="1" t="str">
        <f>VLOOKUP(C54,'Plan (PPL Template)'!A4:C7,3,FALSE())</f>
        <v>Lat Width, Back Thickness, Rear Delts/Posture, Biceps, Forearms</v>
      </c>
    </row>
    <row r="55" xml:space="preserve">
      <c r="A55" s="1">
        <v>46239</v>
      </c>
      <c r="B55" s="1" t="str">
        <f>TEXT(A55,"DDDD")</f>
        <v>Wednesday</v>
      </c>
      <c r="C55" s="1" t="str">
        <f>CHOOSE(WEEKDAY(A55,2),"Push","Pull","Legs","Push","Pull","Legs","Rest")</f>
        <v>Legs</v>
      </c>
      <c r="D55" s="1" t="str" xml:space="preserve">
        <f>VLOOKUP(C55,'Plan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55" s="1" t="str">
        <f>VLOOKUP(C55,'Plan (PPL Template)'!A4:C7,3,FALSE())</f>
        <v>Quads, Hamstrings, Calves, Shoulders (medial+posterior delt), Core</v>
      </c>
    </row>
    <row r="56" xml:space="preserve">
      <c r="A56" s="1">
        <v>46240</v>
      </c>
      <c r="B56" s="1" t="str">
        <f>TEXT(A56,"DDDD")</f>
        <v>Thursday</v>
      </c>
      <c r="C56" s="1" t="str">
        <f>CHOOSE(WEEKDAY(A56,2),"Push","Pull","Legs","Push","Pull","Legs","Rest")</f>
        <v>Push</v>
      </c>
      <c r="D56" s="1" t="str" xml:space="preserve">
        <f>VLOOKUP(C56,'Plan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56" s="1" t="str">
        <f>VLOOKUP(C56,'Plan (PPL Template)'!A4:C7,3,FALSE())</f>
        <v>Upper Chest (priority), Triceps - long head + lateral head</v>
      </c>
    </row>
    <row r="57" xml:space="preserve">
      <c r="A57" s="1">
        <v>46241</v>
      </c>
      <c r="B57" s="1" t="str">
        <f>TEXT(A57,"DDDD")</f>
        <v>Friday</v>
      </c>
      <c r="C57" s="1" t="str">
        <f>CHOOSE(WEEKDAY(A57,2),"Push","Pull","Legs","Push","Pull","Legs","Rest")</f>
        <v>Pull</v>
      </c>
      <c r="D57" s="1" t="str" xml:space="preserve">
        <f>VLOOKUP(C57,'Plan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57" s="1" t="str">
        <f>VLOOKUP(C57,'Plan (PPL Template)'!A4:C7,3,FALSE())</f>
        <v>Lat Width, Back Thickness, Rear Delts/Posture, Biceps, Forearms</v>
      </c>
    </row>
    <row r="58" xml:space="preserve">
      <c r="A58" s="1">
        <v>46242</v>
      </c>
      <c r="B58" s="1" t="str">
        <f>TEXT(A58,"DDDD")</f>
        <v>Saturday</v>
      </c>
      <c r="C58" s="1" t="str">
        <f>CHOOSE(WEEKDAY(A58,2),"Push","Pull","Legs","Push","Pull","Legs","Rest")</f>
        <v>Legs</v>
      </c>
      <c r="D58" s="1" t="str" xml:space="preserve">
        <f>VLOOKUP(C58,'Plan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58" s="1" t="str">
        <f>VLOOKUP(C58,'Plan (PPL Template)'!A4:C7,3,FALSE())</f>
        <v>Quads, Hamstrings, Calves, Shoulders (medial+posterior delt), Core</v>
      </c>
    </row>
    <row r="59">
      <c r="A59" s="1">
        <v>46243</v>
      </c>
      <c r="B59" s="1" t="str">
        <f>TEXT(A59,"DDDD")</f>
        <v>Sunday</v>
      </c>
      <c r="C59" s="1" t="str">
        <f>CHOOSE(WEEKDAY(A59,2),"Push","Pull","Legs","Push","Pull","Legs","Rest")</f>
        <v>Rest</v>
      </c>
      <c r="D59" s="1" t="str">
        <f>VLOOKUP(C59,'Plan (PPL Template)'!A4:C7,2,FALSE())</f>
        <v>Rest Day - Recovery, mobility, sleep, magnesium at night</v>
      </c>
      <c r="E59" s="1" t="str">
        <f>VLOOKUP(C59,'Plan (PPL Template)'!A4:C7,3,FALSE())</f>
        <v>Recovery</v>
      </c>
    </row>
    <row r="60" xml:space="preserve">
      <c r="A60" s="1">
        <v>46244</v>
      </c>
      <c r="B60" s="1" t="str">
        <f>TEXT(A60,"DDDD")</f>
        <v>Monday</v>
      </c>
      <c r="C60" s="1" t="str">
        <f>CHOOSE(WEEKDAY(A60,2),"Push","Pull","Legs","Push","Pull","Legs","Rest")</f>
        <v>Push</v>
      </c>
      <c r="D60" s="1" t="str" xml:space="preserve">
        <f>VLOOKUP(C60,'Plan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60" s="1" t="str">
        <f>VLOOKUP(C60,'Plan (PPL Template)'!A4:C7,3,FALSE())</f>
        <v>Upper Chest (priority), Triceps - long head + lateral head</v>
      </c>
    </row>
    <row r="61" xml:space="preserve">
      <c r="A61" s="1">
        <v>46245</v>
      </c>
      <c r="B61" s="1" t="str">
        <f>TEXT(A61,"DDDD")</f>
        <v>Tuesday</v>
      </c>
      <c r="C61" s="1" t="str">
        <f>CHOOSE(WEEKDAY(A61,2),"Push","Pull","Legs","Push","Pull","Legs","Rest")</f>
        <v>Pull</v>
      </c>
      <c r="D61" s="1" t="str" xml:space="preserve">
        <f>VLOOKUP(C61,'Plan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61" s="1" t="str">
        <f>VLOOKUP(C61,'Plan (PPL Template)'!A4:C7,3,FALSE())</f>
        <v>Lat Width, Back Thickness, Rear Delts/Posture, Biceps, Forearms</v>
      </c>
    </row>
    <row r="62" xml:space="preserve">
      <c r="A62" s="1">
        <v>46246</v>
      </c>
      <c r="B62" s="1" t="str">
        <f>TEXT(A62,"DDDD")</f>
        <v>Wednesday</v>
      </c>
      <c r="C62" s="1" t="str">
        <f>CHOOSE(WEEKDAY(A62,2),"Push","Pull","Legs","Push","Pull","Legs","Rest")</f>
        <v>Legs</v>
      </c>
      <c r="D62" s="1" t="str" xml:space="preserve">
        <f>VLOOKUP(C62,'Plan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62" s="1" t="str">
        <f>VLOOKUP(C62,'Plan (PPL Template)'!A4:C7,3,FALSE())</f>
        <v>Quads, Hamstrings, Calves, Shoulders (medial+posterior delt), Core</v>
      </c>
    </row>
    <row r="63" xml:space="preserve">
      <c r="A63" s="1">
        <v>46247</v>
      </c>
      <c r="B63" s="1" t="str">
        <f>TEXT(A63,"DDDD")</f>
        <v>Thursday</v>
      </c>
      <c r="C63" s="1" t="str">
        <f>CHOOSE(WEEKDAY(A63,2),"Push","Pull","Legs","Push","Pull","Legs","Rest")</f>
        <v>Push</v>
      </c>
      <c r="D63" s="1" t="str" xml:space="preserve">
        <f>VLOOKUP(C63,'Plan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63" s="1" t="str">
        <f>VLOOKUP(C63,'Plan (PPL Template)'!A4:C7,3,FALSE())</f>
        <v>Upper Chest (priority), Triceps - long head + lateral head</v>
      </c>
    </row>
    <row r="64" xml:space="preserve">
      <c r="A64" s="1">
        <v>46248</v>
      </c>
      <c r="B64" s="1" t="str">
        <f>TEXT(A64,"DDDD")</f>
        <v>Friday</v>
      </c>
      <c r="C64" s="1" t="str">
        <f>CHOOSE(WEEKDAY(A64,2),"Push","Pull","Legs","Push","Pull","Legs","Rest")</f>
        <v>Pull</v>
      </c>
      <c r="D64" s="1" t="str" xml:space="preserve">
        <f>VLOOKUP(C64,'Plan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64" s="1" t="str">
        <f>VLOOKUP(C64,'Plan (PPL Template)'!A4:C7,3,FALSE())</f>
        <v>Lat Width, Back Thickness, Rear Delts/Posture, Biceps, Forearms</v>
      </c>
    </row>
    <row r="65" xml:space="preserve">
      <c r="A65" s="1">
        <v>46249</v>
      </c>
      <c r="B65" s="1" t="str">
        <f>TEXT(A65,"DDDD")</f>
        <v>Saturday</v>
      </c>
      <c r="C65" s="1" t="str">
        <f>CHOOSE(WEEKDAY(A65,2),"Push","Pull","Legs","Push","Pull","Legs","Rest")</f>
        <v>Legs</v>
      </c>
      <c r="D65" s="1" t="str" xml:space="preserve">
        <f>VLOOKUP(C65,'Plan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65" s="1" t="str">
        <f>VLOOKUP(C65,'Plan (PPL Template)'!A4:C7,3,FALSE())</f>
        <v>Quads, Hamstrings, Calves, Shoulders (medial+posterior delt), Core</v>
      </c>
    </row>
    <row r="66">
      <c r="A66" s="1">
        <v>46250</v>
      </c>
      <c r="B66" s="1" t="str">
        <f>TEXT(A66,"DDDD")</f>
        <v>Sunday</v>
      </c>
      <c r="C66" s="1" t="str">
        <f>CHOOSE(WEEKDAY(A66,2),"Push","Pull","Legs","Push","Pull","Legs","Rest")</f>
        <v>Rest</v>
      </c>
      <c r="D66" s="1" t="str">
        <f>VLOOKUP(C66,'Plan (PPL Template)'!A4:C7,2,FALSE())</f>
        <v>Rest Day - Recovery, mobility, sleep, magnesium at night</v>
      </c>
      <c r="E66" s="1" t="str">
        <f>VLOOKUP(C66,'Plan (PPL Template)'!A4:C7,3,FALSE())</f>
        <v>Recovery</v>
      </c>
    </row>
    <row r="67" xml:space="preserve">
      <c r="A67" s="1">
        <v>46251</v>
      </c>
      <c r="B67" s="1" t="str">
        <f>TEXT(A67,"DDDD")</f>
        <v>Monday</v>
      </c>
      <c r="C67" s="1" t="str">
        <f>CHOOSE(WEEKDAY(A67,2),"Push","Pull","Legs","Push","Pull","Legs","Rest")</f>
        <v>Push</v>
      </c>
      <c r="D67" s="1" t="str" xml:space="preserve">
        <f>VLOOKUP(C67,'Plan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67" s="1" t="str">
        <f>VLOOKUP(C67,'Plan (PPL Template)'!A4:C7,3,FALSE())</f>
        <v>Upper Chest (priority), Triceps - long head + lateral head</v>
      </c>
    </row>
    <row r="68" xml:space="preserve">
      <c r="A68" s="1">
        <v>46252</v>
      </c>
      <c r="B68" s="1" t="str">
        <f>TEXT(A68,"DDDD")</f>
        <v>Tuesday</v>
      </c>
      <c r="C68" s="1" t="str">
        <f>CHOOSE(WEEKDAY(A68,2),"Push","Pull","Legs","Push","Pull","Legs","Rest")</f>
        <v>Pull</v>
      </c>
      <c r="D68" s="1" t="str" xml:space="preserve">
        <f>VLOOKUP(C68,'Plan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68" s="1" t="str">
        <f>VLOOKUP(C68,'Plan (PPL Template)'!A4:C7,3,FALSE())</f>
        <v>Lat Width, Back Thickness, Rear Delts/Posture, Biceps, Forearms</v>
      </c>
    </row>
    <row r="69" xml:space="preserve">
      <c r="A69" s="1">
        <v>46253</v>
      </c>
      <c r="B69" s="1" t="str">
        <f>TEXT(A69,"DDDD")</f>
        <v>Wednesday</v>
      </c>
      <c r="C69" s="1" t="str">
        <f>CHOOSE(WEEKDAY(A69,2),"Push","Pull","Legs","Push","Pull","Legs","Rest")</f>
        <v>Legs</v>
      </c>
      <c r="D69" s="1" t="str" xml:space="preserve">
        <f>VLOOKUP(C69,'Plan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69" s="1" t="str">
        <f>VLOOKUP(C69,'Plan (PPL Template)'!A4:C7,3,FALSE())</f>
        <v>Quads, Hamstrings, Calves, Shoulders (medial+posterior delt), Core</v>
      </c>
    </row>
    <row r="70" xml:space="preserve">
      <c r="A70" s="1">
        <v>46254</v>
      </c>
      <c r="B70" s="1" t="str">
        <f>TEXT(A70,"DDDD")</f>
        <v>Thursday</v>
      </c>
      <c r="C70" s="1" t="str">
        <f>CHOOSE(WEEKDAY(A70,2),"Push","Pull","Legs","Push","Pull","Legs","Rest")</f>
        <v>Push</v>
      </c>
      <c r="D70" s="1" t="str" xml:space="preserve">
        <f>VLOOKUP(C70,'Plan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70" s="1" t="str">
        <f>VLOOKUP(C70,'Plan (PPL Template)'!A4:C7,3,FALSE())</f>
        <v>Upper Chest (priority), Triceps - long head + lateral head</v>
      </c>
    </row>
    <row r="71" xml:space="preserve">
      <c r="A71" s="1">
        <v>46255</v>
      </c>
      <c r="B71" s="1" t="str">
        <f>TEXT(A71,"DDDD")</f>
        <v>Friday</v>
      </c>
      <c r="C71" s="1" t="str">
        <f>CHOOSE(WEEKDAY(A71,2),"Push","Pull","Legs","Push","Pull","Legs","Rest")</f>
        <v>Pull</v>
      </c>
      <c r="D71" s="1" t="str" xml:space="preserve">
        <f>VLOOKUP(C71,'Plan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71" s="1" t="str">
        <f>VLOOKUP(C71,'Plan (PPL Template)'!A4:C7,3,FALSE())</f>
        <v>Lat Width, Back Thickness, Rear Delts/Posture, Biceps, Forearms</v>
      </c>
    </row>
    <row r="72" xml:space="preserve">
      <c r="A72" s="1">
        <v>46256</v>
      </c>
      <c r="B72" s="1" t="str">
        <f>TEXT(A72,"DDDD")</f>
        <v>Saturday</v>
      </c>
      <c r="C72" s="1" t="str">
        <f>CHOOSE(WEEKDAY(A72,2),"Push","Pull","Legs","Push","Pull","Legs","Rest")</f>
        <v>Legs</v>
      </c>
      <c r="D72" s="1" t="str" xml:space="preserve">
        <f>VLOOKUP(C72,'Plan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72" s="1" t="str">
        <f>VLOOKUP(C72,'Plan (PPL Template)'!A4:C7,3,FALSE())</f>
        <v>Quads, Hamstrings, Calves, Shoulders (medial+posterior delt), Core</v>
      </c>
    </row>
    <row r="73">
      <c r="A73" s="1">
        <v>46257</v>
      </c>
      <c r="B73" s="1" t="str">
        <f>TEXT(A73,"DDDD")</f>
        <v>Sunday</v>
      </c>
      <c r="C73" s="1" t="str">
        <f>CHOOSE(WEEKDAY(A73,2),"Push","Pull","Legs","Push","Pull","Legs","Rest")</f>
        <v>Rest</v>
      </c>
      <c r="D73" s="1" t="str">
        <f>VLOOKUP(C73,'Plan (PPL Template)'!A4:C7,2,FALSE())</f>
        <v>Rest Day - Recovery, mobility, sleep, magnesium at night</v>
      </c>
      <c r="E73" s="1" t="str">
        <f>VLOOKUP(C73,'Plan (PPL Template)'!A4:C7,3,FALSE())</f>
        <v>Recovery</v>
      </c>
    </row>
    <row r="74" xml:space="preserve">
      <c r="A74" s="1">
        <v>46258</v>
      </c>
      <c r="B74" s="1" t="str">
        <f>TEXT(A74,"DDDD")</f>
        <v>Monday</v>
      </c>
      <c r="C74" s="1" t="str">
        <f>CHOOSE(WEEKDAY(A74,2),"Push","Pull","Legs","Push","Pull","Legs","Rest")</f>
        <v>Push</v>
      </c>
      <c r="D74" s="1" t="str" xml:space="preserve">
        <f>VLOOKUP(C74,'Plan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74" s="1" t="str">
        <f>VLOOKUP(C74,'Plan (PPL Template)'!A4:C7,3,FALSE())</f>
        <v>Upper Chest (priority), Triceps - long head + lateral head</v>
      </c>
    </row>
    <row r="75" xml:space="preserve">
      <c r="A75" s="1">
        <v>46259</v>
      </c>
      <c r="B75" s="1" t="str">
        <f>TEXT(A75,"DDDD")</f>
        <v>Tuesday</v>
      </c>
      <c r="C75" s="1" t="str">
        <f>CHOOSE(WEEKDAY(A75,2),"Push","Pull","Legs","Push","Pull","Legs","Rest")</f>
        <v>Pull</v>
      </c>
      <c r="D75" s="1" t="str" xml:space="preserve">
        <f>VLOOKUP(C75,'Plan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75" s="1" t="str">
        <f>VLOOKUP(C75,'Plan (PPL Template)'!A4:C7,3,FALSE())</f>
        <v>Lat Width, Back Thickness, Rear Delts/Posture, Biceps, Forearms</v>
      </c>
    </row>
    <row r="76" xml:space="preserve">
      <c r="A76" s="1">
        <v>46260</v>
      </c>
      <c r="B76" s="1" t="str">
        <f>TEXT(A76,"DDDD")</f>
        <v>Wednesday</v>
      </c>
      <c r="C76" s="1" t="str">
        <f>CHOOSE(WEEKDAY(A76,2),"Push","Pull","Legs","Push","Pull","Legs","Rest")</f>
        <v>Legs</v>
      </c>
      <c r="D76" s="1" t="str" xml:space="preserve">
        <f>VLOOKUP(C76,'Plan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76" s="1" t="str">
        <f>VLOOKUP(C76,'Plan (PPL Template)'!A4:C7,3,FALSE())</f>
        <v>Quads, Hamstrings, Calves, Shoulders (medial+posterior delt), Core</v>
      </c>
    </row>
    <row r="77" xml:space="preserve">
      <c r="A77" s="1">
        <v>46261</v>
      </c>
      <c r="B77" s="1" t="str">
        <f>TEXT(A77,"DDDD")</f>
        <v>Thursday</v>
      </c>
      <c r="C77" s="1" t="str">
        <f>CHOOSE(WEEKDAY(A77,2),"Push","Pull","Legs","Push","Pull","Legs","Rest")</f>
        <v>Push</v>
      </c>
      <c r="D77" s="1" t="str" xml:space="preserve">
        <f>VLOOKUP(C77,'Plan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77" s="1" t="str">
        <f>VLOOKUP(C77,'Plan (PPL Template)'!A4:C7,3,FALSE())</f>
        <v>Upper Chest (priority), Triceps - long head + lateral head</v>
      </c>
    </row>
    <row r="78" xml:space="preserve">
      <c r="A78" s="1">
        <v>46262</v>
      </c>
      <c r="B78" s="1" t="str">
        <f>TEXT(A78,"DDDD")</f>
        <v>Friday</v>
      </c>
      <c r="C78" s="1" t="str">
        <f>CHOOSE(WEEKDAY(A78,2),"Push","Pull","Legs","Push","Pull","Legs","Rest")</f>
        <v>Pull</v>
      </c>
      <c r="D78" s="1" t="str" xml:space="preserve">
        <f>VLOOKUP(C78,'Plan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78" s="1" t="str">
        <f>VLOOKUP(C78,'Plan (PPL Template)'!A4:C7,3,FALSE())</f>
        <v>Lat Width, Back Thickness, Rear Delts/Posture, Biceps, Forearms</v>
      </c>
    </row>
    <row r="79" xml:space="preserve">
      <c r="A79" s="1">
        <v>46263</v>
      </c>
      <c r="B79" s="1" t="str">
        <f>TEXT(A79,"DDDD")</f>
        <v>Saturday</v>
      </c>
      <c r="C79" s="1" t="str">
        <f>CHOOSE(WEEKDAY(A79,2),"Push","Pull","Legs","Push","Pull","Legs","Rest")</f>
        <v>Legs</v>
      </c>
      <c r="D79" s="1" t="str" xml:space="preserve">
        <f>VLOOKUP(C79,'Plan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79" s="1" t="str">
        <f>VLOOKUP(C79,'Plan (PPL Template)'!A4:C7,3,FALSE())</f>
        <v>Quads, Hamstrings, Calves, Shoulders (medial+posterior delt), Core</v>
      </c>
    </row>
    <row r="80">
      <c r="A80" s="1">
        <v>46264</v>
      </c>
      <c r="B80" s="1" t="str">
        <f>TEXT(A80,"DDDD")</f>
        <v>Sunday</v>
      </c>
      <c r="C80" s="1" t="str">
        <f>CHOOSE(WEEKDAY(A80,2),"Push","Pull","Legs","Push","Pull","Legs","Rest")</f>
        <v>Rest</v>
      </c>
      <c r="D80" s="1" t="str">
        <f>VLOOKUP(C80,'Plan (PPL Template)'!A4:C7,2,FALSE())</f>
        <v>Rest Day - Recovery, mobility, sleep, magnesium at night</v>
      </c>
      <c r="E80" s="1" t="str">
        <f>VLOOKUP(C80,'Plan (PPL Template)'!A4:C7,3,FALSE())</f>
        <v>Recovery</v>
      </c>
    </row>
    <row r="81" xml:space="preserve">
      <c r="A81" s="1">
        <v>46265</v>
      </c>
      <c r="B81" s="1" t="str">
        <f>TEXT(A81,"DDDD")</f>
        <v>Monday</v>
      </c>
      <c r="C81" s="1" t="str">
        <f>CHOOSE(WEEKDAY(A81,2),"Push","Pull","Legs","Push","Pull","Legs","Rest")</f>
        <v>Push</v>
      </c>
      <c r="D81" s="1" t="str" xml:space="preserve">
        <f>VLOOKUP(C81,'Plan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81" s="1" t="str">
        <f>VLOOKUP(C81,'Plan (PPL Template)'!A4:C7,3,FALSE())</f>
        <v>Upper Chest (priority), Triceps - long head + lateral head</v>
      </c>
    </row>
    <row r="82" xml:space="preserve">
      <c r="A82" s="1">
        <v>46266</v>
      </c>
      <c r="B82" s="1" t="str">
        <f>TEXT(A82,"DDDD")</f>
        <v>Tuesday</v>
      </c>
      <c r="C82" s="1" t="str">
        <f>CHOOSE(WEEKDAY(A82,2),"Push","Pull","Legs","Push","Pull","Legs","Rest")</f>
        <v>Pull</v>
      </c>
      <c r="D82" s="1" t="str" xml:space="preserve">
        <f>VLOOKUP(C82,'Plan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82" s="1" t="str">
        <f>VLOOKUP(C82,'Plan (PPL Template)'!A4:C7,3,FALSE())</f>
        <v>Lat Width, Back Thickness, Rear Delts/Posture, Biceps, Forearms</v>
      </c>
    </row>
    <row r="83" xml:space="preserve">
      <c r="A83" s="1">
        <v>46267</v>
      </c>
      <c r="B83" s="1" t="str">
        <f>TEXT(A83,"DDDD")</f>
        <v>Wednesday</v>
      </c>
      <c r="C83" s="1" t="str">
        <f>CHOOSE(WEEKDAY(A83,2),"Push","Pull","Legs","Push","Pull","Legs","Rest")</f>
        <v>Legs</v>
      </c>
      <c r="D83" s="1" t="str" xml:space="preserve">
        <f>VLOOKUP(C83,'Plan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83" s="1" t="str">
        <f>VLOOKUP(C83,'Plan (PPL Template)'!A4:C7,3,FALSE())</f>
        <v>Quads, Hamstrings, Calves, Shoulders (medial+posterior delt), Core</v>
      </c>
    </row>
    <row r="84" xml:space="preserve">
      <c r="A84" s="1">
        <v>46268</v>
      </c>
      <c r="B84" s="1" t="str">
        <f>TEXT(A84,"DDDD")</f>
        <v>Thursday</v>
      </c>
      <c r="C84" s="1" t="str">
        <f>CHOOSE(WEEKDAY(A84,2),"Push","Pull","Legs","Push","Pull","Legs","Rest")</f>
        <v>Push</v>
      </c>
      <c r="D84" s="1" t="str" xml:space="preserve">
        <f>VLOOKUP(C84,'Plan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84" s="1" t="str">
        <f>VLOOKUP(C84,'Plan (PPL Template)'!A4:C7,3,FALSE())</f>
        <v>Upper Chest (priority), Triceps - long head + lateral head</v>
      </c>
    </row>
    <row r="85" xml:space="preserve">
      <c r="A85" s="1">
        <v>46269</v>
      </c>
      <c r="B85" s="1" t="str">
        <f>TEXT(A85,"DDDD")</f>
        <v>Friday</v>
      </c>
      <c r="C85" s="1" t="str">
        <f>CHOOSE(WEEKDAY(A85,2),"Push","Pull","Legs","Push","Pull","Legs","Rest")</f>
        <v>Pull</v>
      </c>
      <c r="D85" s="1" t="str" xml:space="preserve">
        <f>VLOOKUP(C85,'Plan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85" s="1" t="str">
        <f>VLOOKUP(C85,'Plan (PPL Template)'!A4:C7,3,FALSE())</f>
        <v>Lat Width, Back Thickness, Rear Delts/Posture, Biceps, Forearms</v>
      </c>
    </row>
    <row r="86" xml:space="preserve">
      <c r="A86" s="1">
        <v>46270</v>
      </c>
      <c r="B86" s="1" t="str">
        <f>TEXT(A86,"DDDD")</f>
        <v>Saturday</v>
      </c>
      <c r="C86" s="1" t="str">
        <f>CHOOSE(WEEKDAY(A86,2),"Push","Pull","Legs","Push","Pull","Legs","Rest")</f>
        <v>Legs</v>
      </c>
      <c r="D86" s="1" t="str" xml:space="preserve">
        <f>VLOOKUP(C86,'Plan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86" s="1" t="str">
        <f>VLOOKUP(C86,'Plan (PPL Template)'!A4:C7,3,FALSE())</f>
        <v>Quads, Hamstrings, Calves, Shoulders (medial+posterior delt), Core</v>
      </c>
    </row>
    <row r="87">
      <c r="A87" s="1">
        <v>46271</v>
      </c>
      <c r="B87" s="1" t="str">
        <f>TEXT(A87,"DDDD")</f>
        <v>Sunday</v>
      </c>
      <c r="C87" s="1" t="str">
        <f>CHOOSE(WEEKDAY(A87,2),"Push","Pull","Legs","Push","Pull","Legs","Rest")</f>
        <v>Rest</v>
      </c>
      <c r="D87" s="1" t="str">
        <f>VLOOKUP(C87,'Plan (PPL Template)'!A4:C7,2,FALSE())</f>
        <v>Rest Day - Recovery, mobility, sleep, magnesium at night</v>
      </c>
      <c r="E87" s="1" t="str">
        <f>VLOOKUP(C87,'Plan (PPL Template)'!A4:C7,3,FALSE())</f>
        <v>Recovery</v>
      </c>
    </row>
    <row r="88" xml:space="preserve">
      <c r="A88" s="1">
        <v>46272</v>
      </c>
      <c r="B88" s="1" t="str">
        <f>TEXT(A88,"DDDD")</f>
        <v>Monday</v>
      </c>
      <c r="C88" s="1" t="str">
        <f>CHOOSE(WEEKDAY(A88,2),"Push","Pull","Legs","Push","Pull","Legs","Rest")</f>
        <v>Push</v>
      </c>
      <c r="D88" s="1" t="str" xml:space="preserve">
        <f>VLOOKUP(C88,'Plan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88" s="1" t="str">
        <f>VLOOKUP(C88,'Plan (PPL Template)'!A4:C7,3,FALSE())</f>
        <v>Upper Chest (priority), Triceps - long head + lateral head</v>
      </c>
    </row>
    <row r="89" xml:space="preserve">
      <c r="A89" s="1">
        <v>46273</v>
      </c>
      <c r="B89" s="1" t="str">
        <f>TEXT(A89,"DDDD")</f>
        <v>Tuesday</v>
      </c>
      <c r="C89" s="1" t="str">
        <f>CHOOSE(WEEKDAY(A89,2),"Push","Pull","Legs","Push","Pull","Legs","Rest")</f>
        <v>Pull</v>
      </c>
      <c r="D89" s="1" t="str" xml:space="preserve">
        <f>VLOOKUP(C89,'Plan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89" s="1" t="str">
        <f>VLOOKUP(C89,'Plan (PPL Template)'!A4:C7,3,FALSE())</f>
        <v>Lat Width, Back Thickness, Rear Delts/Posture, Biceps, Forearms</v>
      </c>
    </row>
    <row r="90" xml:space="preserve">
      <c r="A90" s="1">
        <v>46274</v>
      </c>
      <c r="B90" s="1" t="str">
        <f>TEXT(A90,"DDDD")</f>
        <v>Wednesday</v>
      </c>
      <c r="C90" s="1" t="str">
        <f>CHOOSE(WEEKDAY(A90,2),"Push","Pull","Legs","Push","Pull","Legs","Rest")</f>
        <v>Legs</v>
      </c>
      <c r="D90" s="1" t="str" xml:space="preserve">
        <f>VLOOKUP(C90,'Plan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90" s="1" t="str">
        <f>VLOOKUP(C90,'Plan (PPL Template)'!A4:C7,3,FALSE())</f>
        <v>Quads, Hamstrings, Calves, Shoulders (medial+posterior delt), Core</v>
      </c>
    </row>
    <row r="91" xml:space="preserve">
      <c r="A91" s="1">
        <v>46275</v>
      </c>
      <c r="B91" s="1" t="str">
        <f>TEXT(A91,"DDDD")</f>
        <v>Thursday</v>
      </c>
      <c r="C91" s="1" t="str">
        <f>CHOOSE(WEEKDAY(A91,2),"Push","Pull","Legs","Push","Pull","Legs","Rest")</f>
        <v>Push</v>
      </c>
      <c r="D91" s="1" t="str" xml:space="preserve">
        <f>VLOOKUP(C91,'Plan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91" s="1" t="str">
        <f>VLOOKUP(C91,'Plan (PPL Template)'!A4:C7,3,FALSE())</f>
        <v>Upper Chest (priority), Triceps - long head + lateral head</v>
      </c>
    </row>
    <row r="92" xml:space="preserve">
      <c r="A92" s="1">
        <v>46276</v>
      </c>
      <c r="B92" s="1" t="str">
        <f>TEXT(A92,"DDDD")</f>
        <v>Friday</v>
      </c>
      <c r="C92" s="1" t="str">
        <f>CHOOSE(WEEKDAY(A92,2),"Push","Pull","Legs","Push","Pull","Legs","Rest")</f>
        <v>Pull</v>
      </c>
      <c r="D92" s="1" t="str" xml:space="preserve">
        <f>VLOOKUP(C92,'Plan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92" s="1" t="str">
        <f>VLOOKUP(C92,'Plan (PPL Template)'!A4:C7,3,FALSE())</f>
        <v>Lat Width, Back Thickness, Rear Delts/Posture, Biceps, Forearms</v>
      </c>
    </row>
    <row r="93" xml:space="preserve">
      <c r="A93" s="1">
        <v>46277</v>
      </c>
      <c r="B93" s="1" t="str">
        <f>TEXT(A93,"DDDD")</f>
        <v>Saturday</v>
      </c>
      <c r="C93" s="1" t="str">
        <f>CHOOSE(WEEKDAY(A93,2),"Push","Pull","Legs","Push","Pull","Legs","Rest")</f>
        <v>Legs</v>
      </c>
      <c r="D93" s="1" t="str" xml:space="preserve">
        <f>VLOOKUP(C93,'Plan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93" s="1" t="str">
        <f>VLOOKUP(C93,'Plan (PPL Template)'!A4:C7,3,FALSE())</f>
        <v>Quads, Hamstrings, Calves, Shoulders (medial+posterior delt), Core</v>
      </c>
    </row>
    <row r="94">
      <c r="A94" s="1">
        <v>46278</v>
      </c>
      <c r="B94" s="1" t="str">
        <f>TEXT(A94,"DDDD")</f>
        <v>Sunday</v>
      </c>
      <c r="C94" s="1" t="str">
        <f>CHOOSE(WEEKDAY(A94,2),"Push","Pull","Legs","Push","Pull","Legs","Rest")</f>
        <v>Rest</v>
      </c>
      <c r="D94" s="1" t="str">
        <f>VLOOKUP(C94,'Plan (PPL Template)'!A4:C7,2,FALSE())</f>
        <v>Rest Day - Recovery, mobility, sleep, magnesium at night</v>
      </c>
      <c r="E94" s="1" t="str">
        <f>VLOOKUP(C94,'Plan (PPL Template)'!A4:C7,3,FALSE())</f>
        <v>Recovery</v>
      </c>
    </row>
    <row r="95" xml:space="preserve">
      <c r="A95" s="1">
        <v>46279</v>
      </c>
      <c r="B95" s="1" t="str">
        <f>TEXT(A95,"DDDD")</f>
        <v>Monday</v>
      </c>
      <c r="C95" s="1" t="str">
        <f>CHOOSE(WEEKDAY(A95,2),"Push","Pull","Legs","Push","Pull","Legs","Rest")</f>
        <v>Push</v>
      </c>
      <c r="D95" s="1" t="str" xml:space="preserve">
        <f>VLOOKUP(C95,'Plan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95" s="1" t="str">
        <f>VLOOKUP(C95,'Plan (PPL Template)'!A4:C7,3,FALSE())</f>
        <v>Upper Chest (priority), Triceps - long head + lateral head</v>
      </c>
    </row>
    <row r="96" xml:space="preserve">
      <c r="A96" s="1">
        <v>46280</v>
      </c>
      <c r="B96" s="1" t="str">
        <f>TEXT(A96,"DDDD")</f>
        <v>Tuesday</v>
      </c>
      <c r="C96" s="1" t="str">
        <f>CHOOSE(WEEKDAY(A96,2),"Push","Pull","Legs","Push","Pull","Legs","Rest")</f>
        <v>Pull</v>
      </c>
      <c r="D96" s="1" t="str" xml:space="preserve">
        <f>VLOOKUP(C96,'Plan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96" s="1" t="str">
        <f>VLOOKUP(C96,'Plan (PPL Template)'!A4:C7,3,FALSE())</f>
        <v>Lat Width, Back Thickness, Rear Delts/Posture, Biceps, Forearms</v>
      </c>
    </row>
    <row r="97" xml:space="preserve">
      <c r="A97" s="1">
        <v>46281</v>
      </c>
      <c r="B97" s="1" t="str">
        <f>TEXT(A97,"DDDD")</f>
        <v>Wednesday</v>
      </c>
      <c r="C97" s="1" t="str">
        <f>CHOOSE(WEEKDAY(A97,2),"Push","Pull","Legs","Push","Pull","Legs","Rest")</f>
        <v>Legs</v>
      </c>
      <c r="D97" s="1" t="str" xml:space="preserve">
        <f>VLOOKUP(C97,'Plan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97" s="1" t="str">
        <f>VLOOKUP(C97,'Plan (PPL Template)'!A4:C7,3,FALSE())</f>
        <v>Quads, Hamstrings, Calves, Shoulders (medial+posterior delt), Core</v>
      </c>
    </row>
    <row r="98" xml:space="preserve">
      <c r="A98" s="1">
        <v>46282</v>
      </c>
      <c r="B98" s="1" t="str">
        <f>TEXT(A98,"DDDD")</f>
        <v>Thursday</v>
      </c>
      <c r="C98" s="1" t="str">
        <f>CHOOSE(WEEKDAY(A98,2),"Push","Pull","Legs","Push","Pull","Legs","Rest")</f>
        <v>Push</v>
      </c>
      <c r="D98" s="1" t="str" xml:space="preserve">
        <f>VLOOKUP(C98,'Plan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98" s="1" t="str">
        <f>VLOOKUP(C98,'Plan (PPL Template)'!A4:C7,3,FALSE())</f>
        <v>Upper Chest (priority), Triceps - long head + lateral head</v>
      </c>
    </row>
    <row r="99" xml:space="preserve">
      <c r="A99" s="1">
        <v>46283</v>
      </c>
      <c r="B99" s="1" t="str">
        <f>TEXT(A99,"DDDD")</f>
        <v>Friday</v>
      </c>
      <c r="C99" s="1" t="str">
        <f>CHOOSE(WEEKDAY(A99,2),"Push","Pull","Legs","Push","Pull","Legs","Rest")</f>
        <v>Pull</v>
      </c>
      <c r="D99" s="1" t="str" xml:space="preserve">
        <f>VLOOKUP(C99,'Plan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99" s="1" t="str">
        <f>VLOOKUP(C99,'Plan (PPL Template)'!A4:C7,3,FALSE())</f>
        <v>Lat Width, Back Thickness, Rear Delts/Posture, Biceps, Forearms</v>
      </c>
    </row>
    <row r="100" xml:space="preserve">
      <c r="A100" s="1">
        <v>46284</v>
      </c>
      <c r="B100" s="1" t="str">
        <f>TEXT(A100,"DDDD")</f>
        <v>Saturday</v>
      </c>
      <c r="C100" s="1" t="str">
        <f>CHOOSE(WEEKDAY(A100,2),"Push","Pull","Legs","Push","Pull","Legs","Rest")</f>
        <v>Legs</v>
      </c>
      <c r="D100" s="1" t="str" xml:space="preserve">
        <f>VLOOKUP(C100,'Plan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00" s="1" t="str">
        <f>VLOOKUP(C100,'Plan (PPL Template)'!A4:C7,3,FALSE())</f>
        <v>Quads, Hamstrings, Calves, Shoulders (medial+posterior delt), Core</v>
      </c>
    </row>
    <row r="101">
      <c r="A101" s="1">
        <v>46285</v>
      </c>
      <c r="B101" s="1" t="str">
        <f>TEXT(A101,"DDDD")</f>
        <v>Sunday</v>
      </c>
      <c r="C101" s="1" t="str">
        <f>CHOOSE(WEEKDAY(A101,2),"Push","Pull","Legs","Push","Pull","Legs","Rest")</f>
        <v>Rest</v>
      </c>
      <c r="D101" s="1" t="str">
        <f>VLOOKUP(C101,'Plan (PPL Template)'!A4:C7,2,FALSE())</f>
        <v>Rest Day - Recovery, mobility, sleep, magnesium at night</v>
      </c>
      <c r="E101" s="1" t="str">
        <f>VLOOKUP(C101,'Plan (PPL Template)'!A4:C7,3,FALSE())</f>
        <v>Recovery</v>
      </c>
    </row>
    <row r="102" xml:space="preserve">
      <c r="A102" s="1">
        <v>46286</v>
      </c>
      <c r="B102" s="1" t="str">
        <f>TEXT(A102,"DDDD")</f>
        <v>Monday</v>
      </c>
      <c r="C102" s="1" t="str">
        <f>CHOOSE(WEEKDAY(A102,2),"Push","Pull","Legs","Push","Pull","Legs","Rest")</f>
        <v>Push</v>
      </c>
      <c r="D102" s="1" t="str" xml:space="preserve">
        <f>VLOOKUP(C102,'Plan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02" s="1" t="str">
        <f>VLOOKUP(C102,'Plan (PPL Template)'!A4:C7,3,FALSE())</f>
        <v>Upper Chest (priority), Triceps - long head + lateral head</v>
      </c>
    </row>
    <row r="103" xml:space="preserve">
      <c r="A103" s="1">
        <v>46287</v>
      </c>
      <c r="B103" s="1" t="str">
        <f>TEXT(A103,"DDDD")</f>
        <v>Tuesday</v>
      </c>
      <c r="C103" s="1" t="str">
        <f>CHOOSE(WEEKDAY(A103,2),"Push","Pull","Legs","Push","Pull","Legs","Rest")</f>
        <v>Pull</v>
      </c>
      <c r="D103" s="1" t="str" xml:space="preserve">
        <f>VLOOKUP(C103,'Plan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03" s="1" t="str">
        <f>VLOOKUP(C103,'Plan (PPL Template)'!A4:C7,3,FALSE())</f>
        <v>Lat Width, Back Thickness, Rear Delts/Posture, Biceps, Forearms</v>
      </c>
    </row>
    <row r="104" xml:space="preserve">
      <c r="A104" s="1">
        <v>46288</v>
      </c>
      <c r="B104" s="1" t="str">
        <f>TEXT(A104,"DDDD")</f>
        <v>Wednesday</v>
      </c>
      <c r="C104" s="1" t="str">
        <f>CHOOSE(WEEKDAY(A104,2),"Push","Pull","Legs","Push","Pull","Legs","Rest")</f>
        <v>Legs</v>
      </c>
      <c r="D104" s="1" t="str" xml:space="preserve">
        <f>VLOOKUP(C104,'Plan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04" s="1" t="str">
        <f>VLOOKUP(C104,'Plan (PPL Template)'!A4:C7,3,FALSE())</f>
        <v>Quads, Hamstrings, Calves, Shoulders (medial+posterior delt), Core</v>
      </c>
    </row>
    <row r="105" xml:space="preserve">
      <c r="A105" s="1">
        <v>46289</v>
      </c>
      <c r="B105" s="1" t="str">
        <f>TEXT(A105,"DDDD")</f>
        <v>Thursday</v>
      </c>
      <c r="C105" s="1" t="str">
        <f>CHOOSE(WEEKDAY(A105,2),"Push","Pull","Legs","Push","Pull","Legs","Rest")</f>
        <v>Push</v>
      </c>
      <c r="D105" s="1" t="str" xml:space="preserve">
        <f>VLOOKUP(C105,'Plan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05" s="1" t="str">
        <f>VLOOKUP(C105,'Plan (PPL Template)'!A4:C7,3,FALSE())</f>
        <v>Upper Chest (priority), Triceps - long head + lateral head</v>
      </c>
    </row>
    <row r="106" xml:space="preserve">
      <c r="A106" s="1">
        <v>46290</v>
      </c>
      <c r="B106" s="1" t="str">
        <f>TEXT(A106,"DDDD")</f>
        <v>Friday</v>
      </c>
      <c r="C106" s="1" t="str">
        <f>CHOOSE(WEEKDAY(A106,2),"Push","Pull","Legs","Push","Pull","Legs","Rest")</f>
        <v>Pull</v>
      </c>
      <c r="D106" s="1" t="str" xml:space="preserve">
        <f>VLOOKUP(C106,'Plan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06" s="1" t="str">
        <f>VLOOKUP(C106,'Plan (PPL Template)'!A4:C7,3,FALSE())</f>
        <v>Lat Width, Back Thickness, Rear Delts/Posture, Biceps, Forearms</v>
      </c>
    </row>
    <row r="107" xml:space="preserve">
      <c r="A107" s="1">
        <v>46291</v>
      </c>
      <c r="B107" s="1" t="str">
        <f>TEXT(A107,"DDDD")</f>
        <v>Saturday</v>
      </c>
      <c r="C107" s="1" t="str">
        <f>CHOOSE(WEEKDAY(A107,2),"Push","Pull","Legs","Push","Pull","Legs","Rest")</f>
        <v>Legs</v>
      </c>
      <c r="D107" s="1" t="str" xml:space="preserve">
        <f>VLOOKUP(C107,'Plan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07" s="1" t="str">
        <f>VLOOKUP(C107,'Plan (PPL Template)'!A4:C7,3,FALSE())</f>
        <v>Quads, Hamstrings, Calves, Shoulders (medial+posterior delt), Core</v>
      </c>
    </row>
    <row r="108">
      <c r="A108" s="1">
        <v>46292</v>
      </c>
      <c r="B108" s="1" t="str">
        <f>TEXT(A108,"DDDD")</f>
        <v>Sunday</v>
      </c>
      <c r="C108" s="1" t="str">
        <f>CHOOSE(WEEKDAY(A108,2),"Push","Pull","Legs","Push","Pull","Legs","Rest")</f>
        <v>Rest</v>
      </c>
      <c r="D108" s="1" t="str">
        <f>VLOOKUP(C108,'Plan (PPL Template)'!A4:C7,2,FALSE())</f>
        <v>Rest Day - Recovery, mobility, sleep, magnesium at night</v>
      </c>
      <c r="E108" s="1" t="str">
        <f>VLOOKUP(C108,'Plan (PPL Template)'!A4:C7,3,FALSE())</f>
        <v>Recovery</v>
      </c>
    </row>
    <row r="109" xml:space="preserve">
      <c r="A109" s="1">
        <v>46293</v>
      </c>
      <c r="B109" s="1" t="str">
        <f>TEXT(A109,"DDDD")</f>
        <v>Monday</v>
      </c>
      <c r="C109" s="1" t="str">
        <f>CHOOSE(WEEKDAY(A109,2),"Push","Pull","Legs","Push","Pull","Legs","Rest")</f>
        <v>Push</v>
      </c>
      <c r="D109" s="1" t="str" xml:space="preserve">
        <f>VLOOKUP(C109,'Plan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09" s="1" t="str">
        <f>VLOOKUP(C109,'Plan (PPL Template)'!A4:C7,3,FALSE())</f>
        <v>Upper Chest (priority), Triceps - long head + lateral head</v>
      </c>
    </row>
    <row r="110" xml:space="preserve">
      <c r="A110" s="1">
        <v>46294</v>
      </c>
      <c r="B110" s="1" t="str">
        <f>TEXT(A110,"DDDD")</f>
        <v>Tuesday</v>
      </c>
      <c r="C110" s="1" t="str">
        <f>CHOOSE(WEEKDAY(A110,2),"Push","Pull","Legs","Push","Pull","Legs","Rest")</f>
        <v>Pull</v>
      </c>
      <c r="D110" s="1" t="str" xml:space="preserve">
        <f>VLOOKUP(C110,'Plan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10" s="1" t="str">
        <f>VLOOKUP(C110,'Plan (PPL Template)'!A4:C7,3,FALSE())</f>
        <v>Lat Width, Back Thickness, Rear Delts/Posture, Biceps, Forearms</v>
      </c>
    </row>
    <row r="111" xml:space="preserve">
      <c r="A111" s="1">
        <v>46295</v>
      </c>
      <c r="B111" s="1" t="str">
        <f>TEXT(A111,"DDDD")</f>
        <v>Wednesday</v>
      </c>
      <c r="C111" s="1" t="str">
        <f>CHOOSE(WEEKDAY(A111,2),"Push","Pull","Legs","Push","Pull","Legs","Rest")</f>
        <v>Legs</v>
      </c>
      <c r="D111" s="1" t="str" xml:space="preserve">
        <f>VLOOKUP(C111,'Plan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11" s="1" t="str">
        <f>VLOOKUP(C111,'Plan (PPL Template)'!A4:C7,3,FALSE())</f>
        <v>Quads, Hamstrings, Calves, Shoulders (medial+posterior delt), Core</v>
      </c>
    </row>
    <row r="112" xml:space="preserve">
      <c r="A112" s="1">
        <v>46296</v>
      </c>
      <c r="B112" s="1" t="str">
        <f>TEXT(A112,"DDDD")</f>
        <v>Thursday</v>
      </c>
      <c r="C112" s="1" t="str">
        <f>CHOOSE(WEEKDAY(A112,2),"Push","Pull","Legs","Push","Pull","Legs","Rest")</f>
        <v>Push</v>
      </c>
      <c r="D112" s="1" t="str" xml:space="preserve">
        <f>VLOOKUP(C112,'Plan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12" s="1" t="str">
        <f>VLOOKUP(C112,'Plan (PPL Template)'!A4:C7,3,FALSE())</f>
        <v>Upper Chest (priority), Triceps - long head + lateral head</v>
      </c>
    </row>
    <row r="113" xml:space="preserve">
      <c r="A113" s="1">
        <v>46297</v>
      </c>
      <c r="B113" s="1" t="str">
        <f>TEXT(A113,"DDDD")</f>
        <v>Friday</v>
      </c>
      <c r="C113" s="1" t="str">
        <f>CHOOSE(WEEKDAY(A113,2),"Push","Pull","Legs","Push","Pull","Legs","Rest")</f>
        <v>Pull</v>
      </c>
      <c r="D113" s="1" t="str" xml:space="preserve">
        <f>VLOOKUP(C113,'Plan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13" s="1" t="str">
        <f>VLOOKUP(C113,'Plan (PPL Template)'!A4:C7,3,FALSE())</f>
        <v>Lat Width, Back Thickness, Rear Delts/Posture, Biceps, Forearms</v>
      </c>
    </row>
    <row r="114" xml:space="preserve">
      <c r="A114" s="1">
        <v>46298</v>
      </c>
      <c r="B114" s="1" t="str">
        <f>TEXT(A114,"DDDD")</f>
        <v>Saturday</v>
      </c>
      <c r="C114" s="1" t="str">
        <f>CHOOSE(WEEKDAY(A114,2),"Push","Pull","Legs","Push","Pull","Legs","Rest")</f>
        <v>Legs</v>
      </c>
      <c r="D114" s="1" t="str" xml:space="preserve">
        <f>VLOOKUP(C114,'Plan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14" s="1" t="str">
        <f>VLOOKUP(C114,'Plan (PPL Template)'!A4:C7,3,FALSE())</f>
        <v>Quads, Hamstrings, Calves, Shoulders (medial+posterior delt), Core</v>
      </c>
    </row>
    <row r="115">
      <c r="A115" s="1">
        <v>46299</v>
      </c>
      <c r="B115" s="1" t="str">
        <f>TEXT(A115,"DDDD")</f>
        <v>Sunday</v>
      </c>
      <c r="C115" s="1" t="str">
        <f>CHOOSE(WEEKDAY(A115,2),"Push","Pull","Legs","Push","Pull","Legs","Rest")</f>
        <v>Rest</v>
      </c>
      <c r="D115" s="1" t="str">
        <f>VLOOKUP(C115,'Plan (PPL Template)'!A4:C7,2,FALSE())</f>
        <v>Rest Day - Recovery, mobility, sleep, magnesium at night</v>
      </c>
      <c r="E115" s="1" t="str">
        <f>VLOOKUP(C115,'Plan (PPL Template)'!A4:C7,3,FALSE())</f>
        <v>Recovery</v>
      </c>
    </row>
    <row r="116" xml:space="preserve">
      <c r="A116" s="1">
        <v>46300</v>
      </c>
      <c r="B116" s="1" t="str">
        <f>TEXT(A116,"DDDD")</f>
        <v>Monday</v>
      </c>
      <c r="C116" s="1" t="str">
        <f>CHOOSE(WEEKDAY(A116,2),"Push","Pull","Legs","Push","Pull","Legs","Rest")</f>
        <v>Push</v>
      </c>
      <c r="D116" s="1" t="str" xml:space="preserve">
        <f>VLOOKUP(C116,'Plan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16" s="1" t="str">
        <f>VLOOKUP(C116,'Plan (PPL Template)'!A4:C7,3,FALSE())</f>
        <v>Upper Chest (priority), Triceps - long head + lateral head</v>
      </c>
    </row>
    <row r="117" xml:space="preserve">
      <c r="A117" s="1">
        <v>46301</v>
      </c>
      <c r="B117" s="1" t="str">
        <f>TEXT(A117,"DDDD")</f>
        <v>Tuesday</v>
      </c>
      <c r="C117" s="1" t="str">
        <f>CHOOSE(WEEKDAY(A117,2),"Push","Pull","Legs","Push","Pull","Legs","Rest")</f>
        <v>Pull</v>
      </c>
      <c r="D117" s="1" t="str" xml:space="preserve">
        <f>VLOOKUP(C117,'Plan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17" s="1" t="str">
        <f>VLOOKUP(C117,'Plan (PPL Template)'!A4:C7,3,FALSE())</f>
        <v>Lat Width, Back Thickness, Rear Delts/Posture, Biceps, Forearms</v>
      </c>
    </row>
    <row r="118" xml:space="preserve">
      <c r="A118" s="1">
        <v>46302</v>
      </c>
      <c r="B118" s="1" t="str">
        <f>TEXT(A118,"DDDD")</f>
        <v>Wednesday</v>
      </c>
      <c r="C118" s="1" t="str">
        <f>CHOOSE(WEEKDAY(A118,2),"Push","Pull","Legs","Push","Pull","Legs","Rest")</f>
        <v>Legs</v>
      </c>
      <c r="D118" s="1" t="str" xml:space="preserve">
        <f>VLOOKUP(C118,'Plan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18" s="1" t="str">
        <f>VLOOKUP(C118,'Plan (PPL Template)'!A4:C7,3,FALSE())</f>
        <v>Quads, Hamstrings, Calves, Shoulders (medial+posterior delt), Core</v>
      </c>
    </row>
    <row r="119" xml:space="preserve">
      <c r="A119" s="1">
        <v>46303</v>
      </c>
      <c r="B119" s="1" t="str">
        <f>TEXT(A119,"DDDD")</f>
        <v>Thursday</v>
      </c>
      <c r="C119" s="1" t="str">
        <f>CHOOSE(WEEKDAY(A119,2),"Push","Pull","Legs","Push","Pull","Legs","Rest")</f>
        <v>Push</v>
      </c>
      <c r="D119" s="1" t="str" xml:space="preserve">
        <f>VLOOKUP(C119,'Plan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19" s="1" t="str">
        <f>VLOOKUP(C119,'Plan (PPL Template)'!A4:C7,3,FALSE())</f>
        <v>Upper Chest (priority), Triceps - long head + lateral head</v>
      </c>
    </row>
    <row r="120" xml:space="preserve">
      <c r="A120" s="1">
        <v>46304</v>
      </c>
      <c r="B120" s="1" t="str">
        <f>TEXT(A120,"DDDD")</f>
        <v>Friday</v>
      </c>
      <c r="C120" s="1" t="str">
        <f>CHOOSE(WEEKDAY(A120,2),"Push","Pull","Legs","Push","Pull","Legs","Rest")</f>
        <v>Pull</v>
      </c>
      <c r="D120" s="1" t="str" xml:space="preserve">
        <f>VLOOKUP(C120,'Plan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20" s="1" t="str">
        <f>VLOOKUP(C120,'Plan (PPL Template)'!A4:C7,3,FALSE())</f>
        <v>Lat Width, Back Thickness, Rear Delts/Posture, Biceps, Forearms</v>
      </c>
    </row>
    <row r="121" xml:space="preserve">
      <c r="A121" s="1">
        <v>46305</v>
      </c>
      <c r="B121" s="1" t="str">
        <f>TEXT(A121,"DDDD")</f>
        <v>Saturday</v>
      </c>
      <c r="C121" s="1" t="str">
        <f>CHOOSE(WEEKDAY(A121,2),"Push","Pull","Legs","Push","Pull","Legs","Rest")</f>
        <v>Legs</v>
      </c>
      <c r="D121" s="1" t="str" xml:space="preserve">
        <f>VLOOKUP(C121,'Plan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21" s="1" t="str">
        <f>VLOOKUP(C121,'Plan (PPL Template)'!A4:C7,3,FALSE())</f>
        <v>Quads, Hamstrings, Calves, Shoulders (medial+posterior delt), Core</v>
      </c>
    </row>
    <row r="122">
      <c r="A122" s="1">
        <v>46306</v>
      </c>
      <c r="B122" s="1" t="str">
        <f>TEXT(A122,"DDDD")</f>
        <v>Sunday</v>
      </c>
      <c r="C122" s="1" t="str">
        <f>CHOOSE(WEEKDAY(A122,2),"Push","Pull","Legs","Push","Pull","Legs","Rest")</f>
        <v>Rest</v>
      </c>
      <c r="D122" s="1" t="str">
        <f>VLOOKUP(C122,'Plan (PPL Template)'!A4:C7,2,FALSE())</f>
        <v>Rest Day - Recovery, mobility, sleep, magnesium at night</v>
      </c>
      <c r="E122" s="1" t="str">
        <f>VLOOKUP(C122,'Plan (PPL Template)'!A4:C7,3,FALSE())</f>
        <v>Recovery</v>
      </c>
    </row>
    <row r="123" xml:space="preserve">
      <c r="A123" s="1">
        <v>46307</v>
      </c>
      <c r="B123" s="1" t="str">
        <f>TEXT(A123,"DDDD")</f>
        <v>Monday</v>
      </c>
      <c r="C123" s="1" t="str">
        <f>CHOOSE(WEEKDAY(A123,2),"Push","Pull","Legs","Push","Pull","Legs","Rest")</f>
        <v>Push</v>
      </c>
      <c r="D123" s="1" t="str" xml:space="preserve">
        <f>VLOOKUP(C123,'Plan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23" s="1" t="str">
        <f>VLOOKUP(C123,'Plan (PPL Template)'!A4:C7,3,FALSE())</f>
        <v>Upper Chest (priority), Triceps - long head + lateral head</v>
      </c>
    </row>
    <row r="124" xml:space="preserve">
      <c r="A124" s="1">
        <v>46308</v>
      </c>
      <c r="B124" s="1" t="str">
        <f>TEXT(A124,"DDDD")</f>
        <v>Tuesday</v>
      </c>
      <c r="C124" s="1" t="str">
        <f>CHOOSE(WEEKDAY(A124,2),"Push","Pull","Legs","Push","Pull","Legs","Rest")</f>
        <v>Pull</v>
      </c>
      <c r="D124" s="1" t="str" xml:space="preserve">
        <f>VLOOKUP(C124,'Plan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24" s="1" t="str">
        <f>VLOOKUP(C124,'Plan (PPL Template)'!A4:C7,3,FALSE())</f>
        <v>Lat Width, Back Thickness, Rear Delts/Posture, Biceps, Forearms</v>
      </c>
    </row>
    <row r="125" xml:space="preserve">
      <c r="A125" s="1">
        <v>46309</v>
      </c>
      <c r="B125" s="1" t="str">
        <f>TEXT(A125,"DDDD")</f>
        <v>Wednesday</v>
      </c>
      <c r="C125" s="1" t="str">
        <f>CHOOSE(WEEKDAY(A125,2),"Push","Pull","Legs","Push","Pull","Legs","Rest")</f>
        <v>Legs</v>
      </c>
      <c r="D125" s="1" t="str" xml:space="preserve">
        <f>VLOOKUP(C125,'Plan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25" s="1" t="str">
        <f>VLOOKUP(C125,'Plan (PPL Template)'!A4:C7,3,FALSE())</f>
        <v>Quads, Hamstrings, Calves, Shoulders (medial+posterior delt), Core</v>
      </c>
    </row>
    <row r="126" xml:space="preserve">
      <c r="A126" s="1">
        <v>46310</v>
      </c>
      <c r="B126" s="1" t="str">
        <f>TEXT(A126,"DDDD")</f>
        <v>Thursday</v>
      </c>
      <c r="C126" s="1" t="str">
        <f>CHOOSE(WEEKDAY(A126,2),"Push","Pull","Legs","Push","Pull","Legs","Rest")</f>
        <v>Push</v>
      </c>
      <c r="D126" s="1" t="str" xml:space="preserve">
        <f>VLOOKUP(C126,'Plan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26" s="1" t="str">
        <f>VLOOKUP(C126,'Plan (PPL Template)'!A4:C7,3,FALSE())</f>
        <v>Upper Chest (priority), Triceps - long head + lateral head</v>
      </c>
    </row>
    <row r="127" xml:space="preserve">
      <c r="A127" s="1">
        <v>46311</v>
      </c>
      <c r="B127" s="1" t="str">
        <f>TEXT(A127,"DDDD")</f>
        <v>Friday</v>
      </c>
      <c r="C127" s="1" t="str">
        <f>CHOOSE(WEEKDAY(A127,2),"Push","Pull","Legs","Push","Pull","Legs","Rest")</f>
        <v>Pull</v>
      </c>
      <c r="D127" s="1" t="str" xml:space="preserve">
        <f>VLOOKUP(C127,'Plan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27" s="1" t="str">
        <f>VLOOKUP(C127,'Plan (PPL Template)'!A4:C7,3,FALSE())</f>
        <v>Lat Width, Back Thickness, Rear Delts/Posture, Biceps, Forearms</v>
      </c>
    </row>
    <row r="128" xml:space="preserve">
      <c r="A128" s="1">
        <v>46312</v>
      </c>
      <c r="B128" s="1" t="str">
        <f>TEXT(A128,"DDDD")</f>
        <v>Saturday</v>
      </c>
      <c r="C128" s="1" t="str">
        <f>CHOOSE(WEEKDAY(A128,2),"Push","Pull","Legs","Push","Pull","Legs","Rest")</f>
        <v>Legs</v>
      </c>
      <c r="D128" s="1" t="str" xml:space="preserve">
        <f>VLOOKUP(C128,'Plan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28" s="1" t="str">
        <f>VLOOKUP(C128,'Plan (PPL Template)'!A4:C7,3,FALSE())</f>
        <v>Quads, Hamstrings, Calves, Shoulders (medial+posterior delt), Core</v>
      </c>
    </row>
    <row r="129">
      <c r="A129" s="1">
        <v>46313</v>
      </c>
      <c r="B129" s="1" t="str">
        <f>TEXT(A129,"DDDD")</f>
        <v>Sunday</v>
      </c>
      <c r="C129" s="1" t="str">
        <f>CHOOSE(WEEKDAY(A129,2),"Push","Pull","Legs","Push","Pull","Legs","Rest")</f>
        <v>Rest</v>
      </c>
      <c r="D129" s="1" t="str">
        <f>VLOOKUP(C129,'Plan (PPL Template)'!A4:C7,2,FALSE())</f>
        <v>Rest Day - Recovery, mobility, sleep, magnesium at night</v>
      </c>
      <c r="E129" s="1" t="str">
        <f>VLOOKUP(C129,'Plan (PPL Template)'!A4:C7,3,FALSE())</f>
        <v>Recovery</v>
      </c>
    </row>
    <row r="130" xml:space="preserve">
      <c r="A130" s="1">
        <v>46314</v>
      </c>
      <c r="B130" s="1" t="str">
        <f>TEXT(A130,"DDDD")</f>
        <v>Monday</v>
      </c>
      <c r="C130" s="1" t="str">
        <f>CHOOSE(WEEKDAY(A130,2),"Push","Pull","Legs","Push","Pull","Legs","Rest")</f>
        <v>Push</v>
      </c>
      <c r="D130" s="1" t="str" xml:space="preserve">
        <f>VLOOKUP(C130,'Plan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30" s="1" t="str">
        <f>VLOOKUP(C130,'Plan (PPL Template)'!A4:C7,3,FALSE())</f>
        <v>Upper Chest (priority), Triceps - long head + lateral head</v>
      </c>
    </row>
    <row r="131" xml:space="preserve">
      <c r="A131" s="1">
        <v>46315</v>
      </c>
      <c r="B131" s="1" t="str">
        <f>TEXT(A131,"DDDD")</f>
        <v>Tuesday</v>
      </c>
      <c r="C131" s="1" t="str">
        <f>CHOOSE(WEEKDAY(A131,2),"Push","Pull","Legs","Push","Pull","Legs","Rest")</f>
        <v>Pull</v>
      </c>
      <c r="D131" s="1" t="str" xml:space="preserve">
        <f>VLOOKUP(C131,'Plan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31" s="1" t="str">
        <f>VLOOKUP(C131,'Plan (PPL Template)'!A4:C7,3,FALSE())</f>
        <v>Lat Width, Back Thickness, Rear Delts/Posture, Biceps, Forearms</v>
      </c>
    </row>
    <row r="132" xml:space="preserve">
      <c r="A132" s="1">
        <v>46316</v>
      </c>
      <c r="B132" s="1" t="str">
        <f>TEXT(A132,"DDDD")</f>
        <v>Wednesday</v>
      </c>
      <c r="C132" s="1" t="str">
        <f>CHOOSE(WEEKDAY(A132,2),"Push","Pull","Legs","Push","Pull","Legs","Rest")</f>
        <v>Legs</v>
      </c>
      <c r="D132" s="1" t="str" xml:space="preserve">
        <f>VLOOKUP(C132,'Plan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32" s="1" t="str">
        <f>VLOOKUP(C132,'Plan (PPL Template)'!A4:C7,3,FALSE())</f>
        <v>Quads, Hamstrings, Calves, Shoulders (medial+posterior delt), Core</v>
      </c>
    </row>
    <row r="133" xml:space="preserve">
      <c r="A133" s="1">
        <v>46317</v>
      </c>
      <c r="B133" s="1" t="str">
        <f>TEXT(A133,"DDDD")</f>
        <v>Thursday</v>
      </c>
      <c r="C133" s="1" t="str">
        <f>CHOOSE(WEEKDAY(A133,2),"Push","Pull","Legs","Push","Pull","Legs","Rest")</f>
        <v>Push</v>
      </c>
      <c r="D133" s="1" t="str" xml:space="preserve">
        <f>VLOOKUP(C133,'Plan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33" s="1" t="str">
        <f>VLOOKUP(C133,'Plan (PPL Template)'!A4:C7,3,FALSE())</f>
        <v>Upper Chest (priority), Triceps - long head + lateral head</v>
      </c>
    </row>
    <row r="134" xml:space="preserve">
      <c r="A134" s="1">
        <v>46318</v>
      </c>
      <c r="B134" s="1" t="str">
        <f>TEXT(A134,"DDDD")</f>
        <v>Friday</v>
      </c>
      <c r="C134" s="1" t="str">
        <f>CHOOSE(WEEKDAY(A134,2),"Push","Pull","Legs","Push","Pull","Legs","Rest")</f>
        <v>Pull</v>
      </c>
      <c r="D134" s="1" t="str" xml:space="preserve">
        <f>VLOOKUP(C134,'Plan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34" s="1" t="str">
        <f>VLOOKUP(C134,'Plan (PPL Template)'!A4:C7,3,FALSE())</f>
        <v>Lat Width, Back Thickness, Rear Delts/Posture, Biceps, Forearms</v>
      </c>
    </row>
    <row r="135" xml:space="preserve">
      <c r="A135" s="1">
        <v>46319</v>
      </c>
      <c r="B135" s="1" t="str">
        <f>TEXT(A135,"DDDD")</f>
        <v>Saturday</v>
      </c>
      <c r="C135" s="1" t="str">
        <f>CHOOSE(WEEKDAY(A135,2),"Push","Pull","Legs","Push","Pull","Legs","Rest")</f>
        <v>Legs</v>
      </c>
      <c r="D135" s="1" t="str" xml:space="preserve">
        <f>VLOOKUP(C135,'Plan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35" s="1" t="str">
        <f>VLOOKUP(C135,'Plan (PPL Template)'!A4:C7,3,FALSE())</f>
        <v>Quads, Hamstrings, Calves, Shoulders (medial+posterior delt), Core</v>
      </c>
    </row>
    <row r="136">
      <c r="A136" s="1">
        <v>46320</v>
      </c>
      <c r="B136" s="1" t="str">
        <f>TEXT(A136,"DDDD")</f>
        <v>Sunday</v>
      </c>
      <c r="C136" s="1" t="str">
        <f>CHOOSE(WEEKDAY(A136,2),"Push","Pull","Legs","Push","Pull","Legs","Rest")</f>
        <v>Rest</v>
      </c>
      <c r="D136" s="1" t="str">
        <f>VLOOKUP(C136,'Plan (PPL Template)'!A4:C7,2,FALSE())</f>
        <v>Rest Day - Recovery, mobility, sleep, magnesium at night</v>
      </c>
      <c r="E136" s="1" t="str">
        <f>VLOOKUP(C136,'Plan (PPL Template)'!A4:C7,3,FALSE())</f>
        <v>Recovery</v>
      </c>
    </row>
    <row r="137" xml:space="preserve">
      <c r="A137" s="1">
        <v>46321</v>
      </c>
      <c r="B137" s="1" t="str">
        <f>TEXT(A137,"DDDD")</f>
        <v>Monday</v>
      </c>
      <c r="C137" s="1" t="str">
        <f>CHOOSE(WEEKDAY(A137,2),"Push","Pull","Legs","Push","Pull","Legs","Rest")</f>
        <v>Push</v>
      </c>
      <c r="D137" s="1" t="str" xml:space="preserve">
        <f>VLOOKUP(C137,'Plan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37" s="1" t="str">
        <f>VLOOKUP(C137,'Plan (PPL Template)'!A4:C7,3,FALSE())</f>
        <v>Upper Chest (priority), Triceps - long head + lateral head</v>
      </c>
    </row>
    <row r="138" xml:space="preserve">
      <c r="A138" s="1">
        <v>46322</v>
      </c>
      <c r="B138" s="1" t="str">
        <f>TEXT(A138,"DDDD")</f>
        <v>Tuesday</v>
      </c>
      <c r="C138" s="1" t="str">
        <f>CHOOSE(WEEKDAY(A138,2),"Push","Pull","Legs","Push","Pull","Legs","Rest")</f>
        <v>Pull</v>
      </c>
      <c r="D138" s="1" t="str" xml:space="preserve">
        <f>VLOOKUP(C138,'Plan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38" s="1" t="str">
        <f>VLOOKUP(C138,'Plan (PPL Template)'!A4:C7,3,FALSE())</f>
        <v>Lat Width, Back Thickness, Rear Delts/Posture, Biceps, Forearms</v>
      </c>
    </row>
    <row r="139" xml:space="preserve">
      <c r="A139" s="1">
        <v>46323</v>
      </c>
      <c r="B139" s="1" t="str">
        <f>TEXT(A139,"DDDD")</f>
        <v>Wednesday</v>
      </c>
      <c r="C139" s="1" t="str">
        <f>CHOOSE(WEEKDAY(A139,2),"Push","Pull","Legs","Push","Pull","Legs","Rest")</f>
        <v>Legs</v>
      </c>
      <c r="D139" s="1" t="str" xml:space="preserve">
        <f>VLOOKUP(C139,'Plan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39" s="1" t="str">
        <f>VLOOKUP(C139,'Plan (PPL Template)'!A4:C7,3,FALSE())</f>
        <v>Quads, Hamstrings, Calves, Shoulders (medial+posterior delt), Core</v>
      </c>
    </row>
    <row r="140" xml:space="preserve">
      <c r="A140" s="1">
        <v>46324</v>
      </c>
      <c r="B140" s="1" t="str">
        <f>TEXT(A140,"DDDD")</f>
        <v>Thursday</v>
      </c>
      <c r="C140" s="1" t="str">
        <f>CHOOSE(WEEKDAY(A140,2),"Push","Pull","Legs","Push","Pull","Legs","Rest")</f>
        <v>Push</v>
      </c>
      <c r="D140" s="1" t="str" xml:space="preserve">
        <f>VLOOKUP(C140,'Plan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40" s="1" t="str">
        <f>VLOOKUP(C140,'Plan (PPL Template)'!A4:C7,3,FALSE())</f>
        <v>Upper Chest (priority), Triceps - long head + lateral head</v>
      </c>
    </row>
    <row r="141" xml:space="preserve">
      <c r="A141" s="1">
        <v>46325</v>
      </c>
      <c r="B141" s="1" t="str">
        <f>TEXT(A141,"DDDD")</f>
        <v>Friday</v>
      </c>
      <c r="C141" s="1" t="str">
        <f>CHOOSE(WEEKDAY(A141,2),"Push","Pull","Legs","Push","Pull","Legs","Rest")</f>
        <v>Pull</v>
      </c>
      <c r="D141" s="1" t="str" xml:space="preserve">
        <f>VLOOKUP(C141,'Plan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41" s="1" t="str">
        <f>VLOOKUP(C141,'Plan (PPL Template)'!A4:C7,3,FALSE())</f>
        <v>Lat Width, Back Thickness, Rear Delts/Posture, Biceps, Forearms</v>
      </c>
    </row>
    <row r="142" xml:space="preserve">
      <c r="A142" s="1">
        <v>46326</v>
      </c>
      <c r="B142" s="1" t="str">
        <f>TEXT(A142,"DDDD")</f>
        <v>Saturday</v>
      </c>
      <c r="C142" s="1" t="str">
        <f>CHOOSE(WEEKDAY(A142,2),"Push","Pull","Legs","Push","Pull","Legs","Rest")</f>
        <v>Legs</v>
      </c>
      <c r="D142" s="1" t="str" xml:space="preserve">
        <f>VLOOKUP(C142,'Plan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42" s="1" t="str">
        <f>VLOOKUP(C142,'Plan (PPL Template)'!A4:C7,3,FALSE())</f>
        <v>Quads, Hamstrings, Calves, Shoulders (medial+posterior delt), Core</v>
      </c>
    </row>
    <row r="143">
      <c r="A143" s="1">
        <v>46327</v>
      </c>
      <c r="B143" s="1" t="str">
        <f>TEXT(A143,"DDDD")</f>
        <v>Sunday</v>
      </c>
      <c r="C143" s="1" t="str">
        <f>CHOOSE(WEEKDAY(A143,2),"Push","Pull","Legs","Push","Pull","Legs","Rest")</f>
        <v>Rest</v>
      </c>
      <c r="D143" s="1" t="str">
        <f>VLOOKUP(C143,'Plan (PPL Template)'!A4:C7,2,FALSE())</f>
        <v>Rest Day - Recovery, mobility, sleep, magnesium at night</v>
      </c>
      <c r="E143" s="1" t="str">
        <f>VLOOKUP(C143,'Plan (PPL Template)'!A4:C7,3,FALSE())</f>
        <v>Recovery</v>
      </c>
    </row>
    <row r="144" xml:space="preserve">
      <c r="A144" s="1">
        <v>46328</v>
      </c>
      <c r="B144" s="1" t="str">
        <f>TEXT(A144,"DDDD")</f>
        <v>Monday</v>
      </c>
      <c r="C144" s="1" t="str">
        <f>CHOOSE(WEEKDAY(A144,2),"Push","Pull","Legs","Push","Pull","Legs","Rest")</f>
        <v>Push</v>
      </c>
      <c r="D144" s="1" t="str" xml:space="preserve">
        <f>VLOOKUP(C144,'Plan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44" s="1" t="str">
        <f>VLOOKUP(C144,'Plan (PPL Template)'!A4:C7,3,FALSE())</f>
        <v>Upper Chest (priority), Triceps - long head + lateral head</v>
      </c>
    </row>
    <row r="145" xml:space="preserve">
      <c r="A145" s="1">
        <v>46329</v>
      </c>
      <c r="B145" s="1" t="str">
        <f>TEXT(A145,"DDDD")</f>
        <v>Tuesday</v>
      </c>
      <c r="C145" s="1" t="str">
        <f>CHOOSE(WEEKDAY(A145,2),"Push","Pull","Legs","Push","Pull","Legs","Rest")</f>
        <v>Pull</v>
      </c>
      <c r="D145" s="1" t="str" xml:space="preserve">
        <f>VLOOKUP(C145,'Plan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45" s="1" t="str">
        <f>VLOOKUP(C145,'Plan (PPL Template)'!A4:C7,3,FALSE())</f>
        <v>Lat Width, Back Thickness, Rear Delts/Posture, Biceps, Forearms</v>
      </c>
    </row>
    <row r="146" xml:space="preserve">
      <c r="A146" s="1">
        <v>46330</v>
      </c>
      <c r="B146" s="1" t="str">
        <f>TEXT(A146,"DDDD")</f>
        <v>Wednesday</v>
      </c>
      <c r="C146" s="1" t="str">
        <f>CHOOSE(WEEKDAY(A146,2),"Push","Pull","Legs","Push","Pull","Legs","Rest")</f>
        <v>Legs</v>
      </c>
      <c r="D146" s="1" t="str" xml:space="preserve">
        <f>VLOOKUP(C146,'Plan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46" s="1" t="str">
        <f>VLOOKUP(C146,'Plan (PPL Template)'!A4:C7,3,FALSE())</f>
        <v>Quads, Hamstrings, Calves, Shoulders (medial+posterior delt), Core</v>
      </c>
    </row>
    <row r="147" xml:space="preserve">
      <c r="A147" s="1">
        <v>46331</v>
      </c>
      <c r="B147" s="1" t="str">
        <f>TEXT(A147,"DDDD")</f>
        <v>Thursday</v>
      </c>
      <c r="C147" s="1" t="str">
        <f>CHOOSE(WEEKDAY(A147,2),"Push","Pull","Legs","Push","Pull","Legs","Rest")</f>
        <v>Push</v>
      </c>
      <c r="D147" s="1" t="str" xml:space="preserve">
        <f>VLOOKUP(C147,'Plan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47" s="1" t="str">
        <f>VLOOKUP(C147,'Plan (PPL Template)'!A4:C7,3,FALSE())</f>
        <v>Upper Chest (priority), Triceps - long head + lateral head</v>
      </c>
    </row>
    <row r="148" xml:space="preserve">
      <c r="A148" s="1">
        <v>46332</v>
      </c>
      <c r="B148" s="1" t="str">
        <f>TEXT(A148,"DDDD")</f>
        <v>Friday</v>
      </c>
      <c r="C148" s="1" t="str">
        <f>CHOOSE(WEEKDAY(A148,2),"Push","Pull","Legs","Push","Pull","Legs","Rest")</f>
        <v>Pull</v>
      </c>
      <c r="D148" s="1" t="str" xml:space="preserve">
        <f>VLOOKUP(C148,'Plan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48" s="1" t="str">
        <f>VLOOKUP(C148,'Plan (PPL Template)'!A4:C7,3,FALSE())</f>
        <v>Lat Width, Back Thickness, Rear Delts/Posture, Biceps, Forearms</v>
      </c>
    </row>
    <row r="149" xml:space="preserve">
      <c r="A149" s="1">
        <v>46333</v>
      </c>
      <c r="B149" s="1" t="str">
        <f>TEXT(A149,"DDDD")</f>
        <v>Saturday</v>
      </c>
      <c r="C149" s="1" t="str">
        <f>CHOOSE(WEEKDAY(A149,2),"Push","Pull","Legs","Push","Pull","Legs","Rest")</f>
        <v>Legs</v>
      </c>
      <c r="D149" s="1" t="str" xml:space="preserve">
        <f>VLOOKUP(C149,'Plan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49" s="1" t="str">
        <f>VLOOKUP(C149,'Plan (PPL Template)'!A4:C7,3,FALSE())</f>
        <v>Quads, Hamstrings, Calves, Shoulders (medial+posterior delt), Core</v>
      </c>
    </row>
    <row r="150">
      <c r="A150" s="1">
        <v>46334</v>
      </c>
      <c r="B150" s="1" t="str">
        <f>TEXT(A150,"DDDD")</f>
        <v>Sunday</v>
      </c>
      <c r="C150" s="1" t="str">
        <f>CHOOSE(WEEKDAY(A150,2),"Push","Pull","Legs","Push","Pull","Legs","Rest")</f>
        <v>Rest</v>
      </c>
      <c r="D150" s="1" t="str">
        <f>VLOOKUP(C150,'Plan (PPL Template)'!A4:C7,2,FALSE())</f>
        <v>Rest Day - Recovery, mobility, sleep, magnesium at night</v>
      </c>
      <c r="E150" s="1" t="str">
        <f>VLOOKUP(C150,'Plan (PPL Template)'!A4:C7,3,FALSE())</f>
        <v>Recovery</v>
      </c>
    </row>
    <row r="151" xml:space="preserve">
      <c r="A151" s="1">
        <v>46335</v>
      </c>
      <c r="B151" s="1" t="str">
        <f>TEXT(A151,"DDDD")</f>
        <v>Monday</v>
      </c>
      <c r="C151" s="1" t="str">
        <f>CHOOSE(WEEKDAY(A151,2),"Push","Pull","Legs","Push","Pull","Legs","Rest")</f>
        <v>Push</v>
      </c>
      <c r="D151" s="1" t="str" xml:space="preserve">
        <f>VLOOKUP(C151,'Plan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51" s="1" t="str">
        <f>VLOOKUP(C151,'Plan (PPL Template)'!A4:C7,3,FALSE())</f>
        <v>Upper Chest (priority), Triceps - long head + lateral head</v>
      </c>
    </row>
    <row r="152" xml:space="preserve">
      <c r="A152" s="1">
        <v>46336</v>
      </c>
      <c r="B152" s="1" t="str">
        <f>TEXT(A152,"DDDD")</f>
        <v>Tuesday</v>
      </c>
      <c r="C152" s="1" t="str">
        <f>CHOOSE(WEEKDAY(A152,2),"Push","Pull","Legs","Push","Pull","Legs","Rest")</f>
        <v>Pull</v>
      </c>
      <c r="D152" s="1" t="str" xml:space="preserve">
        <f>VLOOKUP(C152,'Plan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52" s="1" t="str">
        <f>VLOOKUP(C152,'Plan (PPL Template)'!A4:C7,3,FALSE())</f>
        <v>Lat Width, Back Thickness, Rear Delts/Posture, Biceps, Forearms</v>
      </c>
    </row>
    <row r="153" xml:space="preserve">
      <c r="A153" s="1">
        <v>46337</v>
      </c>
      <c r="B153" s="1" t="str">
        <f>TEXT(A153,"DDDD")</f>
        <v>Wednesday</v>
      </c>
      <c r="C153" s="1" t="str">
        <f>CHOOSE(WEEKDAY(A153,2),"Push","Pull","Legs","Push","Pull","Legs","Rest")</f>
        <v>Legs</v>
      </c>
      <c r="D153" s="1" t="str" xml:space="preserve">
        <f>VLOOKUP(C153,'Plan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53" s="1" t="str">
        <f>VLOOKUP(C153,'Plan (PPL Template)'!A4:C7,3,FALSE())</f>
        <v>Quads, Hamstrings, Calves, Shoulders (medial+posterior delt), Core</v>
      </c>
    </row>
    <row r="154" xml:space="preserve">
      <c r="A154" s="1">
        <v>46338</v>
      </c>
      <c r="B154" s="1" t="str">
        <f>TEXT(A154,"DDDD")</f>
        <v>Thursday</v>
      </c>
      <c r="C154" s="1" t="str">
        <f>CHOOSE(WEEKDAY(A154,2),"Push","Pull","Legs","Push","Pull","Legs","Rest")</f>
        <v>Push</v>
      </c>
      <c r="D154" s="1" t="str" xml:space="preserve">
        <f>VLOOKUP(C154,'Plan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54" s="1" t="str">
        <f>VLOOKUP(C154,'Plan (PPL Template)'!A4:C7,3,FALSE())</f>
        <v>Upper Chest (priority), Triceps - long head + lateral head</v>
      </c>
    </row>
    <row r="155" xml:space="preserve">
      <c r="A155" s="1">
        <v>46339</v>
      </c>
      <c r="B155" s="1" t="str">
        <f>TEXT(A155,"DDDD")</f>
        <v>Friday</v>
      </c>
      <c r="C155" s="1" t="str">
        <f>CHOOSE(WEEKDAY(A155,2),"Push","Pull","Legs","Push","Pull","Legs","Rest")</f>
        <v>Pull</v>
      </c>
      <c r="D155" s="1" t="str" xml:space="preserve">
        <f>VLOOKUP(C155,'Plan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55" s="1" t="str">
        <f>VLOOKUP(C155,'Plan (PPL Template)'!A4:C7,3,FALSE())</f>
        <v>Lat Width, Back Thickness, Rear Delts/Posture, Biceps, Forearms</v>
      </c>
    </row>
    <row r="156" xml:space="preserve">
      <c r="A156" s="1">
        <v>46340</v>
      </c>
      <c r="B156" s="1" t="str">
        <f>TEXT(A156,"DDDD")</f>
        <v>Saturday</v>
      </c>
      <c r="C156" s="1" t="str">
        <f>CHOOSE(WEEKDAY(A156,2),"Push","Pull","Legs","Push","Pull","Legs","Rest")</f>
        <v>Legs</v>
      </c>
      <c r="D156" s="1" t="str" xml:space="preserve">
        <f>VLOOKUP(C156,'Plan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56" s="1" t="str">
        <f>VLOOKUP(C156,'Plan (PPL Template)'!A4:C7,3,FALSE())</f>
        <v>Quads, Hamstrings, Calves, Shoulders (medial+posterior delt), Core</v>
      </c>
    </row>
    <row r="157">
      <c r="A157" s="1">
        <v>46341</v>
      </c>
      <c r="B157" s="1" t="str">
        <f>TEXT(A157,"DDDD")</f>
        <v>Sunday</v>
      </c>
      <c r="C157" s="1" t="str">
        <f>CHOOSE(WEEKDAY(A157,2),"Push","Pull","Legs","Push","Pull","Legs","Rest")</f>
        <v>Rest</v>
      </c>
      <c r="D157" s="1" t="str">
        <f>VLOOKUP(C157,'Plan (PPL Template)'!A4:C7,2,FALSE())</f>
        <v>Rest Day - Recovery, mobility, sleep, magnesium at night</v>
      </c>
      <c r="E157" s="1" t="str">
        <f>VLOOKUP(C157,'Plan (PPL Template)'!A4:C7,3,FALSE())</f>
        <v>Recovery</v>
      </c>
    </row>
    <row r="158" xml:space="preserve">
      <c r="A158" s="1">
        <v>46342</v>
      </c>
      <c r="B158" s="1" t="str">
        <f>TEXT(A158,"DDDD")</f>
        <v>Monday</v>
      </c>
      <c r="C158" s="1" t="str">
        <f>CHOOSE(WEEKDAY(A158,2),"Push","Pull","Legs","Push","Pull","Legs","Rest")</f>
        <v>Push</v>
      </c>
      <c r="D158" s="1" t="str" xml:space="preserve">
        <f>VLOOKUP(C158,'Plan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58" s="1" t="str">
        <f>VLOOKUP(C158,'Plan (PPL Template)'!A4:C7,3,FALSE())</f>
        <v>Upper Chest (priority), Triceps - long head + lateral head</v>
      </c>
    </row>
    <row r="159" xml:space="preserve">
      <c r="A159" s="1">
        <v>46343</v>
      </c>
      <c r="B159" s="1" t="str">
        <f>TEXT(A159,"DDDD")</f>
        <v>Tuesday</v>
      </c>
      <c r="C159" s="1" t="str">
        <f>CHOOSE(WEEKDAY(A159,2),"Push","Pull","Legs","Push","Pull","Legs","Rest")</f>
        <v>Pull</v>
      </c>
      <c r="D159" s="1" t="str" xml:space="preserve">
        <f>VLOOKUP(C159,'Plan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59" s="1" t="str">
        <f>VLOOKUP(C159,'Plan (PPL Template)'!A4:C7,3,FALSE())</f>
        <v>Lat Width, Back Thickness, Rear Delts/Posture, Biceps, Forearms</v>
      </c>
    </row>
    <row r="160" xml:space="preserve">
      <c r="A160" s="1">
        <v>46344</v>
      </c>
      <c r="B160" s="1" t="str">
        <f>TEXT(A160,"DDDD")</f>
        <v>Wednesday</v>
      </c>
      <c r="C160" s="1" t="str">
        <f>CHOOSE(WEEKDAY(A160,2),"Push","Pull","Legs","Push","Pull","Legs","Rest")</f>
        <v>Legs</v>
      </c>
      <c r="D160" s="1" t="str" xml:space="preserve">
        <f>VLOOKUP(C160,'Plan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60" s="1" t="str">
        <f>VLOOKUP(C160,'Plan (PPL Template)'!A4:C7,3,FALSE())</f>
        <v>Quads, Hamstrings, Calves, Shoulders (medial+posterior delt), Core</v>
      </c>
    </row>
    <row r="161" xml:space="preserve">
      <c r="A161" s="1">
        <v>46345</v>
      </c>
      <c r="B161" s="1" t="str">
        <f>TEXT(A161,"DDDD")</f>
        <v>Thursday</v>
      </c>
      <c r="C161" s="1" t="str">
        <f>CHOOSE(WEEKDAY(A161,2),"Push","Pull","Legs","Push","Pull","Legs","Rest")</f>
        <v>Push</v>
      </c>
      <c r="D161" s="1" t="str" xml:space="preserve">
        <f>VLOOKUP(C161,'Plan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61" s="1" t="str">
        <f>VLOOKUP(C161,'Plan (PPL Template)'!A4:C7,3,FALSE())</f>
        <v>Upper Chest (priority), Triceps - long head + lateral head</v>
      </c>
    </row>
    <row r="162" xml:space="preserve">
      <c r="A162" s="1">
        <v>46346</v>
      </c>
      <c r="B162" s="1" t="str">
        <f>TEXT(A162,"DDDD")</f>
        <v>Friday</v>
      </c>
      <c r="C162" s="1" t="str">
        <f>CHOOSE(WEEKDAY(A162,2),"Push","Pull","Legs","Push","Pull","Legs","Rest")</f>
        <v>Pull</v>
      </c>
      <c r="D162" s="1" t="str" xml:space="preserve">
        <f>VLOOKUP(C162,'Plan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62" s="1" t="str">
        <f>VLOOKUP(C162,'Plan (PPL Template)'!A4:C7,3,FALSE())</f>
        <v>Lat Width, Back Thickness, Rear Delts/Posture, Biceps, Forearms</v>
      </c>
    </row>
    <row r="163" xml:space="preserve">
      <c r="A163" s="1">
        <v>46347</v>
      </c>
      <c r="B163" s="1" t="str">
        <f>TEXT(A163,"DDDD")</f>
        <v>Saturday</v>
      </c>
      <c r="C163" s="1" t="str">
        <f>CHOOSE(WEEKDAY(A163,2),"Push","Pull","Legs","Push","Pull","Legs","Rest")</f>
        <v>Legs</v>
      </c>
      <c r="D163" s="1" t="str" xml:space="preserve">
        <f>VLOOKUP(C163,'Plan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63" s="1" t="str">
        <f>VLOOKUP(C163,'Plan (PPL Template)'!A4:C7,3,FALSE())</f>
        <v>Quads, Hamstrings, Calves, Shoulders (medial+posterior delt), Core</v>
      </c>
    </row>
    <row r="164">
      <c r="A164" s="1">
        <v>46348</v>
      </c>
      <c r="B164" s="1" t="str">
        <f>TEXT(A164,"DDDD")</f>
        <v>Sunday</v>
      </c>
      <c r="C164" s="1" t="str">
        <f>CHOOSE(WEEKDAY(A164,2),"Push","Pull","Legs","Push","Pull","Legs","Rest")</f>
        <v>Rest</v>
      </c>
      <c r="D164" s="1" t="str">
        <f>VLOOKUP(C164,'Plan (PPL Template)'!A4:C7,2,FALSE())</f>
        <v>Rest Day - Recovery, mobility, sleep, magnesium at night</v>
      </c>
      <c r="E164" s="1" t="str">
        <f>VLOOKUP(C164,'Plan (PPL Template)'!A4:C7,3,FALSE())</f>
        <v>Recovery</v>
      </c>
    </row>
    <row r="165" xml:space="preserve">
      <c r="A165" s="1">
        <v>46349</v>
      </c>
      <c r="B165" s="1" t="str">
        <f>TEXT(A165,"DDDD")</f>
        <v>Monday</v>
      </c>
      <c r="C165" s="1" t="str">
        <f>CHOOSE(WEEKDAY(A165,2),"Push","Pull","Legs","Push","Pull","Legs","Rest")</f>
        <v>Push</v>
      </c>
      <c r="D165" s="1" t="str" xml:space="preserve">
        <f>VLOOKUP(C165,'Plan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65" s="1" t="str">
        <f>VLOOKUP(C165,'Plan (PPL Template)'!A4:C7,3,FALSE())</f>
        <v>Upper Chest (priority), Triceps - long head + lateral head</v>
      </c>
    </row>
    <row r="166" xml:space="preserve">
      <c r="A166" s="1">
        <v>46350</v>
      </c>
      <c r="B166" s="1" t="str">
        <f>TEXT(A166,"DDDD")</f>
        <v>Tuesday</v>
      </c>
      <c r="C166" s="1" t="str">
        <f>CHOOSE(WEEKDAY(A166,2),"Push","Pull","Legs","Push","Pull","Legs","Rest")</f>
        <v>Pull</v>
      </c>
      <c r="D166" s="1" t="str" xml:space="preserve">
        <f>VLOOKUP(C166,'Plan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66" s="1" t="str">
        <f>VLOOKUP(C166,'Plan (PPL Template)'!A4:C7,3,FALSE())</f>
        <v>Lat Width, Back Thickness, Rear Delts/Posture, Biceps, Forearms</v>
      </c>
    </row>
    <row r="167" xml:space="preserve">
      <c r="A167" s="1">
        <v>46351</v>
      </c>
      <c r="B167" s="1" t="str">
        <f>TEXT(A167,"DDDD")</f>
        <v>Wednesday</v>
      </c>
      <c r="C167" s="1" t="str">
        <f>CHOOSE(WEEKDAY(A167,2),"Push","Pull","Legs","Push","Pull","Legs","Rest")</f>
        <v>Legs</v>
      </c>
      <c r="D167" s="1" t="str" xml:space="preserve">
        <f>VLOOKUP(C167,'Plan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67" s="1" t="str">
        <f>VLOOKUP(C167,'Plan (PPL Template)'!A4:C7,3,FALSE())</f>
        <v>Quads, Hamstrings, Calves, Shoulders (medial+posterior delt), Core</v>
      </c>
    </row>
    <row r="168" xml:space="preserve">
      <c r="A168" s="1">
        <v>46352</v>
      </c>
      <c r="B168" s="1" t="str">
        <f>TEXT(A168,"DDDD")</f>
        <v>Thursday</v>
      </c>
      <c r="C168" s="1" t="str">
        <f>CHOOSE(WEEKDAY(A168,2),"Push","Pull","Legs","Push","Pull","Legs","Rest")</f>
        <v>Push</v>
      </c>
      <c r="D168" s="1" t="str" xml:space="preserve">
        <f>VLOOKUP(C168,'Plan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68" s="1" t="str">
        <f>VLOOKUP(C168,'Plan (PPL Template)'!A4:C7,3,FALSE())</f>
        <v>Upper Chest (priority), Triceps - long head + lateral head</v>
      </c>
    </row>
    <row r="169" xml:space="preserve">
      <c r="A169" s="1">
        <v>46353</v>
      </c>
      <c r="B169" s="1" t="str">
        <f>TEXT(A169,"DDDD")</f>
        <v>Friday</v>
      </c>
      <c r="C169" s="1" t="str">
        <f>CHOOSE(WEEKDAY(A169,2),"Push","Pull","Legs","Push","Pull","Legs","Rest")</f>
        <v>Pull</v>
      </c>
      <c r="D169" s="1" t="str" xml:space="preserve">
        <f>VLOOKUP(C169,'Plan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69" s="1" t="str">
        <f>VLOOKUP(C169,'Plan (PPL Template)'!A4:C7,3,FALSE())</f>
        <v>Lat Width, Back Thickness, Rear Delts/Posture, Biceps, Forearms</v>
      </c>
    </row>
    <row r="170" xml:space="preserve">
      <c r="A170" s="1">
        <v>46354</v>
      </c>
      <c r="B170" s="1" t="str">
        <f>TEXT(A170,"DDDD")</f>
        <v>Saturday</v>
      </c>
      <c r="C170" s="1" t="str">
        <f>CHOOSE(WEEKDAY(A170,2),"Push","Pull","Legs","Push","Pull","Legs","Rest")</f>
        <v>Legs</v>
      </c>
      <c r="D170" s="1" t="str" xml:space="preserve">
        <f>VLOOKUP(C170,'Plan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70" s="1" t="str">
        <f>VLOOKUP(C170,'Plan (PPL Template)'!A4:C7,3,FALSE())</f>
        <v>Quads, Hamstrings, Calves, Shoulders (medial+posterior delt), Core</v>
      </c>
    </row>
    <row r="171">
      <c r="A171" s="1">
        <v>46355</v>
      </c>
      <c r="B171" s="1" t="str">
        <f>TEXT(A171,"DDDD")</f>
        <v>Sunday</v>
      </c>
      <c r="C171" s="1" t="str">
        <f>CHOOSE(WEEKDAY(A171,2),"Push","Pull","Legs","Push","Pull","Legs","Rest")</f>
        <v>Rest</v>
      </c>
      <c r="D171" s="1" t="str">
        <f>VLOOKUP(C171,'Plan (PPL Template)'!A4:C7,2,FALSE())</f>
        <v>Rest Day - Recovery, mobility, sleep, magnesium at night</v>
      </c>
      <c r="E171" s="1" t="str">
        <f>VLOOKUP(C171,'Plan (PPL Template)'!A4:C7,3,FALSE())</f>
        <v>Recovery</v>
      </c>
    </row>
    <row r="172" xml:space="preserve">
      <c r="A172" s="1">
        <v>46356</v>
      </c>
      <c r="B172" s="1" t="str">
        <f>TEXT(A172,"DDDD")</f>
        <v>Monday</v>
      </c>
      <c r="C172" s="1" t="str">
        <f>CHOOSE(WEEKDAY(A172,2),"Push","Pull","Legs","Push","Pull","Legs","Rest")</f>
        <v>Push</v>
      </c>
      <c r="D172" s="1" t="str" xml:space="preserve">
        <f>VLOOKUP(C172,'Plan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72" s="1" t="str">
        <f>VLOOKUP(C172,'Plan (PPL Template)'!A4:C7,3,FALSE())</f>
        <v>Upper Chest (priority), Triceps - long head + lateral head</v>
      </c>
    </row>
    <row r="173" xml:space="preserve">
      <c r="A173" s="1">
        <v>46357</v>
      </c>
      <c r="B173" s="1" t="str">
        <f>TEXT(A173,"DDDD")</f>
        <v>Tuesday</v>
      </c>
      <c r="C173" s="1" t="str">
        <f>CHOOSE(WEEKDAY(A173,2),"Push","Pull","Legs","Push","Pull","Legs","Rest")</f>
        <v>Pull</v>
      </c>
      <c r="D173" s="1" t="str" xml:space="preserve">
        <f>VLOOKUP(C173,'Plan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73" s="1" t="str">
        <f>VLOOKUP(C173,'Plan (PPL Template)'!A4:C7,3,FALSE())</f>
        <v>Lat Width, Back Thickness, Rear Delts/Posture, Biceps, Forearms</v>
      </c>
    </row>
    <row r="174" xml:space="preserve">
      <c r="A174" s="1">
        <v>46358</v>
      </c>
      <c r="B174" s="1" t="str">
        <f>TEXT(A174,"DDDD")</f>
        <v>Wednesday</v>
      </c>
      <c r="C174" s="1" t="str">
        <f>CHOOSE(WEEKDAY(A174,2),"Push","Pull","Legs","Push","Pull","Legs","Rest")</f>
        <v>Legs</v>
      </c>
      <c r="D174" s="1" t="str" xml:space="preserve">
        <f>VLOOKUP(C174,'Plan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74" s="1" t="str">
        <f>VLOOKUP(C174,'Plan (PPL Template)'!A4:C7,3,FALSE())</f>
        <v>Quads, Hamstrings, Calves, Shoulders (medial+posterior delt), Core</v>
      </c>
    </row>
    <row r="175" xml:space="preserve">
      <c r="A175" s="1">
        <v>46359</v>
      </c>
      <c r="B175" s="1" t="str">
        <f>TEXT(A175,"DDDD")</f>
        <v>Thursday</v>
      </c>
      <c r="C175" s="1" t="str">
        <f>CHOOSE(WEEKDAY(A175,2),"Push","Pull","Legs","Push","Pull","Legs","Rest")</f>
        <v>Push</v>
      </c>
      <c r="D175" s="1" t="str" xml:space="preserve">
        <f>VLOOKUP(C175,'Plan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75" s="1" t="str">
        <f>VLOOKUP(C175,'Plan (PPL Template)'!A4:C7,3,FALSE())</f>
        <v>Upper Chest (priority), Triceps - long head + lateral head</v>
      </c>
    </row>
    <row r="176" xml:space="preserve">
      <c r="A176" s="1">
        <v>46360</v>
      </c>
      <c r="B176" s="1" t="str">
        <f>TEXT(A176,"DDDD")</f>
        <v>Friday</v>
      </c>
      <c r="C176" s="1" t="str">
        <f>CHOOSE(WEEKDAY(A176,2),"Push","Pull","Legs","Push","Pull","Legs","Rest")</f>
        <v>Pull</v>
      </c>
      <c r="D176" s="1" t="str" xml:space="preserve">
        <f>VLOOKUP(C176,'Plan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76" s="1" t="str">
        <f>VLOOKUP(C176,'Plan (PPL Template)'!A4:C7,3,FALSE())</f>
        <v>Lat Width, Back Thickness, Rear Delts/Posture, Biceps, Forearms</v>
      </c>
    </row>
    <row r="177" xml:space="preserve">
      <c r="A177" s="1">
        <v>46361</v>
      </c>
      <c r="B177" s="1" t="str">
        <f>TEXT(A177,"DDDD")</f>
        <v>Saturday</v>
      </c>
      <c r="C177" s="1" t="str">
        <f>CHOOSE(WEEKDAY(A177,2),"Push","Pull","Legs","Push","Pull","Legs","Rest")</f>
        <v>Legs</v>
      </c>
      <c r="D177" s="1" t="str" xml:space="preserve">
        <f>VLOOKUP(C177,'Plan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77" s="1" t="str">
        <f>VLOOKUP(C177,'Plan (PPL Template)'!A4:C7,3,FALSE())</f>
        <v>Quads, Hamstrings, Calves, Shoulders (medial+posterior delt), Core</v>
      </c>
    </row>
    <row r="178">
      <c r="A178" s="1">
        <v>46362</v>
      </c>
      <c r="B178" s="1" t="str">
        <f>TEXT(A178,"DDDD")</f>
        <v>Sunday</v>
      </c>
      <c r="C178" s="1" t="str">
        <f>CHOOSE(WEEKDAY(A178,2),"Push","Pull","Legs","Push","Pull","Legs","Rest")</f>
        <v>Rest</v>
      </c>
      <c r="D178" s="1" t="str">
        <f>VLOOKUP(C178,'Plan (PPL Template)'!A4:C7,2,FALSE())</f>
        <v>Rest Day - Recovery, mobility, sleep, magnesium at night</v>
      </c>
      <c r="E178" s="1" t="str">
        <f>VLOOKUP(C178,'Plan (PPL Template)'!A4:C7,3,FALSE())</f>
        <v>Recovery</v>
      </c>
    </row>
    <row r="179" xml:space="preserve">
      <c r="A179" s="1">
        <v>46363</v>
      </c>
      <c r="B179" s="1" t="str">
        <f>TEXT(A179,"DDDD")</f>
        <v>Monday</v>
      </c>
      <c r="C179" s="1" t="str">
        <f>CHOOSE(WEEKDAY(A179,2),"Push","Pull","Legs","Push","Pull","Legs","Rest")</f>
        <v>Push</v>
      </c>
      <c r="D179" s="1" t="str" xml:space="preserve">
        <f>VLOOKUP(C179,'Plan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79" s="1" t="str">
        <f>VLOOKUP(C179,'Plan (PPL Template)'!A4:C7,3,FALSE())</f>
        <v>Upper Chest (priority), Triceps - long head + lateral head</v>
      </c>
    </row>
    <row r="180" xml:space="preserve">
      <c r="A180" s="1">
        <v>46364</v>
      </c>
      <c r="B180" s="1" t="str">
        <f>TEXT(A180,"DDDD")</f>
        <v>Tuesday</v>
      </c>
      <c r="C180" s="1" t="str">
        <f>CHOOSE(WEEKDAY(A180,2),"Push","Pull","Legs","Push","Pull","Legs","Rest")</f>
        <v>Pull</v>
      </c>
      <c r="D180" s="1" t="str" xml:space="preserve">
        <f>VLOOKUP(C180,'Plan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80" s="1" t="str">
        <f>VLOOKUP(C180,'Plan (PPL Template)'!A4:C7,3,FALSE())</f>
        <v>Lat Width, Back Thickness, Rear Delts/Posture, Biceps, Forearms</v>
      </c>
    </row>
    <row r="181" xml:space="preserve">
      <c r="A181" s="1">
        <v>46365</v>
      </c>
      <c r="B181" s="1" t="str">
        <f>TEXT(A181,"DDDD")</f>
        <v>Wednesday</v>
      </c>
      <c r="C181" s="1" t="str">
        <f>CHOOSE(WEEKDAY(A181,2),"Push","Pull","Legs","Push","Pull","Legs","Rest")</f>
        <v>Legs</v>
      </c>
      <c r="D181" s="1" t="str" xml:space="preserve">
        <f>VLOOKUP(C181,'Plan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81" s="1" t="str">
        <f>VLOOKUP(C181,'Plan (PPL Template)'!A4:C7,3,FALSE())</f>
        <v>Quads, Hamstrings, Calves, Shoulders (medial+posterior delt), Core</v>
      </c>
    </row>
    <row r="182" xml:space="preserve">
      <c r="A182" s="1">
        <v>46366</v>
      </c>
      <c r="B182" s="1" t="str">
        <f>TEXT(A182,"DDDD")</f>
        <v>Thursday</v>
      </c>
      <c r="C182" s="1" t="str">
        <f>CHOOSE(WEEKDAY(A182,2),"Push","Pull","Legs","Push","Pull","Legs","Rest")</f>
        <v>Push</v>
      </c>
      <c r="D182" s="1" t="str" xml:space="preserve">
        <f>VLOOKUP(C182,'Plan (PPL Template)'!A4:C7,2,FALSE())</f>
        <v xml:space="preserve">1. Incline Barbell Press - 4x8-10
2. Incline DB Press - 4x10
3. Low-to-High Cable Crossover - 4x15
4. Close Grip Bench Press - 4x8-10
5. Overhead Cable Tricep Extension - 4x10-12
6. Rope Pushdown - 4x12-15</v>
      </c>
      <c r="E182" s="1" t="str">
        <f>VLOOKUP(C182,'Plan (PPL Template)'!A4:C7,3,FALSE())</f>
        <v>Upper Chest (priority), Triceps - long head + lateral head</v>
      </c>
    </row>
    <row r="183" xml:space="preserve">
      <c r="A183" s="1">
        <v>46367</v>
      </c>
      <c r="B183" s="1" t="str">
        <f>TEXT(A183,"DDDD")</f>
        <v>Friday</v>
      </c>
      <c r="C183" s="1" t="str">
        <f>CHOOSE(WEEKDAY(A183,2),"Push","Pull","Legs","Push","Pull","Legs","Rest")</f>
        <v>Pull</v>
      </c>
      <c r="D183" s="1" t="str" xml:space="preserve">
        <f>VLOOKUP(C183,'Plan (PPL Template)'!A4:C7,2,FALSE())</f>
        <v xml:space="preserve">1. Pull-Ups (weighted/assisted) - 4xMax
2. Wide Grip Lat Pulldown - 4-5x8-15
3. Seated Cable Row (close grip) - 4x10
4. Face Pulls - 4x20 (NON-NEGOTIABLE)
5. Barbell Curl - 4x8-15
6. Reverse Barbell Curl / Wrist Curl - 3x12-20</v>
      </c>
      <c r="E183" s="1" t="str">
        <f>VLOOKUP(C183,'Plan (PPL Template)'!A4:C7,3,FALSE())</f>
        <v>Lat Width, Back Thickness, Rear Delts/Posture, Biceps, Forearms</v>
      </c>
    </row>
    <row r="184" xml:space="preserve">
      <c r="A184" s="1">
        <v>46368</v>
      </c>
      <c r="B184" s="1" t="str">
        <f>TEXT(A184,"DDDD")</f>
        <v>Saturday</v>
      </c>
      <c r="C184" s="1" t="str">
        <f>CHOOSE(WEEKDAY(A184,2),"Push","Pull","Legs","Push","Pull","Legs","Rest")</f>
        <v>Legs</v>
      </c>
      <c r="D184" s="1" t="str" xml:space="preserve">
        <f>VLOOKUP(C184,'Plan (PPL Template)'!A4:C7,2,FALSE())</f>
        <v xml:space="preserve">1. Barbell Squat - 4x10
2. Leg Press - 4x12
3. Romanian Deadlift - 4x10
4. Standing Calf Raise - 3x20
5. Seated DB Shoulder Press - 4x10
6. Cable Lateral Raise + Reverse Pec Deck - 4x15-20 (NON-NEGOTIABLE)
7. Hanging Leg Raise + Plank - 3x12 / 45s</v>
      </c>
      <c r="E184" s="1" t="str">
        <f>VLOOKUP(C184,'Plan (PPL Template)'!A4:C7,3,FALSE())</f>
        <v>Quads, Hamstrings, Calves, Shoulders (medial+posterior delt), Core</v>
      </c>
    </row>
    <row r="185">
      <c r="A185" s="1">
        <v>46369</v>
      </c>
      <c r="B185" s="1" t="str">
        <f>TEXT(A185,"DDDD")</f>
        <v>Sunday</v>
      </c>
      <c r="C185" s="1" t="str">
        <f>CHOOSE(WEEKDAY(A185,2),"Push","Pull","Legs","Push","Pull","Legs","Rest")</f>
        <v>Rest</v>
      </c>
      <c r="D185" s="1" t="str">
        <f>VLOOKUP(C185,'Plan (PPL Template)'!A4:C7,2,FALSE())</f>
        <v>Rest Day - Recovery, mobility, sleep, magnesium at night</v>
      </c>
      <c r="E185" s="1" t="str">
        <f>VLOOKUP(C185,'Plan (PPL Template)'!A4:C7,3,FALSE())</f>
        <v>Recovery</v>
      </c>
    </row>
  </sheetData>
  <mergeCells count="1">
    <mergeCell ref="A1:G1"/>
  </mergeCells>
  <pageMargins left="0.75" right="0.75" top="1" bottom="1" header="0.511811023622047" footer="0.511811023622047"/>
  <ignoredErrors>
    <ignoredError numberStoredAsText="1" sqref="A1:G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Plan (PPL Template)</vt:lpstr>
      <vt:lpstr>6-Month Calendar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2026-06-13T10:12:29Z</dcterms:created>
  <dcterms:modified xsi:type="dcterms:W3CDTF">2026-06-13T10:12:29Z</dcterms:modified>
  <cp:revision>0</cp:revision>
  <dc:creator>openpyxl</dc:creator>
  <dc:language>en-US</dc:language>
</cp:coreProperties>
</file>